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ringCafe_Database" sheetId="1" r:id="rId5"/>
    <sheet state="visible" name="HiringCafe_Job_Clean" sheetId="2" r:id="rId6"/>
    <sheet state="visible" name="HiringCafe_Job_Format" sheetId="3" r:id="rId7"/>
  </sheets>
  <definedNames>
    <definedName hidden="1" localSheetId="1" name="_xlnm._FilterDatabase">HiringCafe_Job_Clean!$A$1:$C$3377</definedName>
    <definedName hidden="1" localSheetId="2" name="_xlnm._FilterDatabase">HiringCafe_Job_Format!$A$1:$A$1000</definedName>
  </definedNames>
  <calcPr/>
</workbook>
</file>

<file path=xl/sharedStrings.xml><?xml version="1.0" encoding="utf-8"?>
<sst xmlns="http://schemas.openxmlformats.org/spreadsheetml/2006/main" count="6802" uniqueCount="2048">
  <si>
    <t>Posted Time</t>
  </si>
  <si>
    <t>Role</t>
  </si>
  <si>
    <t>Area</t>
  </si>
  <si>
    <t>Work Type</t>
  </si>
  <si>
    <t>Contract Type</t>
  </si>
  <si>
    <t>Company</t>
  </si>
  <si>
    <t>Company &amp; Description</t>
  </si>
  <si>
    <t>Requirements Summary</t>
  </si>
  <si>
    <t>Technical Tools mentioned</t>
  </si>
  <si>
    <t>Job Posting</t>
  </si>
  <si>
    <t>Added Date</t>
  </si>
  <si>
    <t>Type of Search</t>
  </si>
  <si>
    <t>Posted Date (DATE format)</t>
  </si>
  <si>
    <t>12h</t>
  </si>
  <si>
    <t>Insight Analyst - Customer Success</t>
  </si>
  <si>
    <t>Budapest, Budapest, Hungary</t>
  </si>
  <si>
    <t>Hybrid</t>
  </si>
  <si>
    <t>Full Time</t>
  </si>
  <si>
    <t>NielsenIQ</t>
  </si>
  <si>
    <t>NielsenIQNYSE: NIQ: Provides data and analytics on global consumer buying behavior.</t>
  </si>
  <si>
    <t>1+ YOE1-3 years of data analysis experience; English fluency; ability to collaborate with clients; knowledge of data delivery and reporting.</t>
  </si>
  <si>
    <t>Not available</t>
  </si>
  <si>
    <t>Departments - Data and Analytics, Budapest (Remote, Hybrid, Onsite), No keyword search, 6 months</t>
  </si>
  <si>
    <t>1d</t>
  </si>
  <si>
    <t>Senior SEO/GEO Consultant</t>
  </si>
  <si>
    <t>DEPT</t>
  </si>
  <si>
    <t>DEPT: Global digital agency providing integrated technology and marketing services.</t>
  </si>
  <si>
    <t>5+ YOE5+ years in SEO; fluent English; strategic, analytical thinker; strong communication; able to work independently in a hybrid setting.</t>
  </si>
  <si>
    <t>2d</t>
  </si>
  <si>
    <t>Global Master Data Administrator Intern (Budapest, HU, H-1138)</t>
  </si>
  <si>
    <t>All Commitments Available</t>
  </si>
  <si>
    <t>Givaudan</t>
  </si>
  <si>
    <t>GivaudanSIX Swiss Exchange: GIVN: Global manufacturer of flavors, fragrances, and active cosmetic ingredients.</t>
  </si>
  <si>
    <t>Pursuing university degree (IT or Business); fluent English; intermediate Excel; SAP experience beneficial.</t>
  </si>
  <si>
    <t>Microsoft Excel, SAP</t>
  </si>
  <si>
    <t>Head of Experimentations</t>
  </si>
  <si>
    <t>Ukraine or Turkey or Serbia or Georgia or Moldova or Montenegro or Macedonia or Kazakhstan or Europe</t>
  </si>
  <si>
    <t>Remote</t>
  </si>
  <si>
    <t>Ruby Labs</t>
  </si>
  <si>
    <t>Ruby Labs: Creates and operates innovative consumer mobile products globally.</t>
  </si>
  <si>
    <t>7+ YOESenior growth leader with 7+ years in growth, CRO, product growth, or performance strategy; proven success scaling digital subscription products; strong analytics and experimentation expertise; English proficiency.</t>
  </si>
  <si>
    <t>A/B testing platforms, Analytics platforms</t>
  </si>
  <si>
    <t>3d</t>
  </si>
  <si>
    <t>Quantitative Researcher</t>
  </si>
  <si>
    <t>Onsite</t>
  </si>
  <si>
    <t>MSCI</t>
  </si>
  <si>
    <t>MSCINYSE: MSCI: Provides investment indices, data, and portfolio risk analytics.</t>
  </si>
  <si>
    <t>Advanced degree (Masters or PhD) in a quantitative field; strong quantitative and problem-solving skills; ability to communicate with senior stakeholders; interest in empirical modeling and data science; Proficiency in Python, MATLAB, and production C++.</t>
  </si>
  <si>
    <t>Python, MATLAB, C++</t>
  </si>
  <si>
    <t>Digitalization Specialist, Reporting CoE (Budapest, PE, HU, 1062)</t>
  </si>
  <si>
    <t>Grundfos</t>
  </si>
  <si>
    <t>Grundfos: Global manufacturer of energy-efficient water pumps and systems.</t>
  </si>
  <si>
    <t>3+ YOEBachelor’s or Master’s in Finance, Economics, Business, Data/Analytics; 3–5 years in finance processes; hands-on with Power BI, Power Automate, Power Apps; familiarity with Copilot Studio and agentic AI workflows.</t>
  </si>
  <si>
    <t>Power BI, Power Automate, Power Apps, Microsoft Copilot Studio, Agentic AI workflows</t>
  </si>
  <si>
    <t>Data analyst (Budapest, BU, HU, 1068)</t>
  </si>
  <si>
    <t>Bertelsmann</t>
  </si>
  <si>
    <t>Bertelsmann: Global media, publishing, and business services conglomerate.</t>
  </si>
  <si>
    <t>2+ YOE2-4 years of data analyst or business analyst experience; strong SQL; Python; Power BI; advanced Excel; statistical basics and data modeling; data visualization; stakeholder management.</t>
  </si>
  <si>
    <t>SQL, Python, Power BI, Excel, Power Pivot, Power Query</t>
  </si>
  <si>
    <t>4d</t>
  </si>
  <si>
    <t>Data Platform Developer Trainee</t>
  </si>
  <si>
    <t>Internship</t>
  </si>
  <si>
    <t>Hiflylabs</t>
  </si>
  <si>
    <t>Hiflylabs: We provide expert data engineering, AI, and analytics solutions.</t>
  </si>
  <si>
    <t>0+ YOECurious, eager to learn data engineering, with SQL basics and Python familiarity; active student, at least 1 full semester remaining, 20 hours/week.</t>
  </si>
  <si>
    <t>SQL, Python, Git</t>
  </si>
  <si>
    <t>Jr. Master Data Specialist_fixed-term (Budapest, Budapest, HU, 1007)</t>
  </si>
  <si>
    <t>Contract</t>
  </si>
  <si>
    <t>Reckitt</t>
  </si>
  <si>
    <t>ReckittLondon Stock Exchange: RKT: Manufacturing and selling consumer hygiene, health, and nutrition products.</t>
  </si>
  <si>
    <t>1+ YOEBachelor’s degree in business; at least 1 year data or project management experience; fluent in Hungarian and English; strong Excel skills; experience with integrated finance data handling; good communication and analytical skills; high precision.</t>
  </si>
  <si>
    <t>Excel, SAP, JDE</t>
  </si>
  <si>
    <t>AI Model Validation Expert</t>
  </si>
  <si>
    <t>PwC</t>
  </si>
  <si>
    <t>PwC: Global provider of audit, tax, and professional consulting services.</t>
  </si>
  <si>
    <t>3+ YOE3+ years in developing/validating AI models; degree in quantitative fields; experience in AI/ML, risk, governance; strong communication and leadership; English fluency; German a plus.</t>
  </si>
  <si>
    <t>Marketing Analytics Specialist</t>
  </si>
  <si>
    <t>Iron Mountain</t>
  </si>
  <si>
    <t>Iron MountainNYSE: IRM: Provides enterprise information management, storage, and data center services.</t>
  </si>
  <si>
    <t>Experience in marketing analytics; strong SQL, BigQuery, Python/R; dashboarding with Tableau/Looker Studio; ability to translate data into business insights.</t>
  </si>
  <si>
    <t>SQL, BigQuery, Google Cloud Platform, Python, R, JavaScript, GA4, GTM, Tableau, Looker Studio</t>
  </si>
  <si>
    <t>Process &amp; Data Analyst</t>
  </si>
  <si>
    <t>bp</t>
  </si>
  <si>
    <t>bpLondon Stock Exchange: BP: Produces and distributes oil, gas, and renewable energy globally.</t>
  </si>
  <si>
    <t>BA or master’s in economics or related field; demonstrable data analysis/process improvement experience; strong communication; data integration/ETL; data management; governance familiarity; energy sector knowledge.</t>
  </si>
  <si>
    <t>SQL, Python, ETL, BPMN, UML, Data Visualization, Data Management, Data Sourcing</t>
  </si>
  <si>
    <t>bpLondon Stock Exchange: BP: Global energy providing oil, gas, and low-carbon solutions.</t>
  </si>
  <si>
    <t>BA or master’s in economics or similar; experience in data analysis or process improvement; strong commercial acumen; proficient in data integration, cleansing, transformation, and visualization; good communication skills; knowledge of data governance and security.</t>
  </si>
  <si>
    <t>SQL, Python, ETL, Data Visualization, BPMN, UML</t>
  </si>
  <si>
    <t>Staff Analytics Product Manager – Operations, Strategy &amp; CTO</t>
  </si>
  <si>
    <t>Bengaluru or Monterrey or Budapest</t>
  </si>
  <si>
    <t>GE Vernova</t>
  </si>
  <si>
    <t>GE VernovaNYSE: GEV: Global energy manufacturing power generation and grid technologies.</t>
  </si>
  <si>
    <t>7+ YOE7+ years in data management, BI, or analytics; Bachelor’s in STEM; AI/ML experience; BI/tools proficiency.</t>
  </si>
  <si>
    <t>Power BI, Tableau, Databricks, Azure, AWS, Google Cloud</t>
  </si>
  <si>
    <t>HR Data &amp; Analytics Expert (Budapest, HU, 1031)</t>
  </si>
  <si>
    <t>Graphisoft</t>
  </si>
  <si>
    <t>Graphisoft: Develops BIM software solutions for architecture and engineering professionals.</t>
  </si>
  <si>
    <t>3+ YOEAnalyze HR data, build dashboards, apply AI, and govern HR data to enable strategic HR decisions.</t>
  </si>
  <si>
    <t>Power BI, Tableau, HRIS, Statistical software</t>
  </si>
  <si>
    <t>Workforce Management Analyst</t>
  </si>
  <si>
    <t>Delivery Hero</t>
  </si>
  <si>
    <t>Delivery HeroFrankfurt Stock Exchange: DHER: Global platform for online food ordering and delivery services.</t>
  </si>
  <si>
    <t>3+ YOE3–4 years in workforce management planning/scheduling; English proficiency; advanced Excel; SQL; Python; strong data analysis skills.</t>
  </si>
  <si>
    <t>Google Suite, Microsoft Office, Excel, SQL, Python, Erlang-C</t>
  </si>
  <si>
    <t>Data Scientist (REF5099W)</t>
  </si>
  <si>
    <t>Budapest or Debrecen or Pécs or Szeged</t>
  </si>
  <si>
    <t>Deutsche Telekom IT Solutions</t>
  </si>
  <si>
    <t>Deutsche Telekom IT SolutionsFrankfurt Stock Exchange: DTE: Provides integrated IT and telecommunications services to corporate clients.</t>
  </si>
  <si>
    <t>Bachelor’s degree in IT/related fields; data science/ML/analytics experience; NoSQL; REST/JSON; Python; GitLab CI/CD; Docker/Kubernetes; Elastic/OpenSearch; Kafka; Linux; English.</t>
  </si>
  <si>
    <t>NoSQL, REST-API, JSON, Python, GitLab CI/CD, Docker, Kubernetes, Elasticsearch/OpenSearch, Kafka, Linux</t>
  </si>
  <si>
    <t>Product Analyst, Donor Portal</t>
  </si>
  <si>
    <t>Georgia or Europe</t>
  </si>
  <si>
    <t>Fundraise Up</t>
  </si>
  <si>
    <t>Fundraise Up: AI-powered fundraising platform for nonprofit organizations.</t>
  </si>
  <si>
    <t>5+ YOE5+ years as Data/Product Analyst; strong statistics; advanced SQL; Python (NumPy, Pandas, Matplotlib, Scikit-learn); BI tools (Tableau, Power BI, Metabase); strong English; proactive, detail-oriented.</t>
  </si>
  <si>
    <t>Python, SQL, Tableau, Power BI, Metabase, Grafana, Airflow, Git, ClickHouse, MongoDB, PostgreSQL</t>
  </si>
  <si>
    <t>Data Analytics</t>
  </si>
  <si>
    <t>Europe</t>
  </si>
  <si>
    <t>Miratech</t>
  </si>
  <si>
    <t>Miratech: Global IT consulting firm providing digital engineering and CX services.</t>
  </si>
  <si>
    <t>3+ YOE3+ years in data analysis; strong SQL, Excel; Tableau; experience with IVR or contact center data; good communication.</t>
  </si>
  <si>
    <t>SQL, Excel, Tableau</t>
  </si>
  <si>
    <t>5d</t>
  </si>
  <si>
    <t>Data Governance Lead</t>
  </si>
  <si>
    <t>Sanofi</t>
  </si>
  <si>
    <t>SanofiNASDAQ: SNY: Develops and manufactures pharmaceuticals and vaccines for global patients.</t>
  </si>
  <si>
    <t>Lead global data governance, ensure data quality and compliance; manage data stewards; implement governance strategies.</t>
  </si>
  <si>
    <t>MDM, CI/CD, Data governance, Agile</t>
  </si>
  <si>
    <t>Lead Data Engineer</t>
  </si>
  <si>
    <t>Morgan Stanley</t>
  </si>
  <si>
    <t>Morgan StanleyNYSE: MS: Provides investment banking, wealth management, and financial services.</t>
  </si>
  <si>
    <t>6+ YOELead data engineer with 6+ years in data engineering, data architecture, SQL, ETL, cloud platforms (Snowflake), GenAI/AI/ML, and strong leadership.</t>
  </si>
  <si>
    <t>Snowflake, SQL, ETL, GenAI, LLMs, CI/CD, AI/ML tools</t>
  </si>
  <si>
    <t>AI Training Specialist</t>
  </si>
  <si>
    <t>North America or Europe or Asia</t>
  </si>
  <si>
    <t>Prolific</t>
  </si>
  <si>
    <t>Prolific: Connecting researchers with vetted participants for high-quality data collection.</t>
  </si>
  <si>
    <t>0+ YOEExperience as AI trainer or similar; ability to complete paid tasks with focus for up to an hour; reliable internet; computer access; willingness to self-declare earnings; PayPal familiar; willing to take verification test.</t>
  </si>
  <si>
    <t>General AI Training, Image and Video Annotation, Trust and Safety, Evaluations, Red Teaming, Quality Analytics</t>
  </si>
  <si>
    <t>Product Analyst</t>
  </si>
  <si>
    <t>Scentbird</t>
  </si>
  <si>
    <t>Scentbird: Monthly subscription service for sampling designer perfumes and colognes.</t>
  </si>
  <si>
    <t>Experience in product analytics and data-driven decision making.</t>
  </si>
  <si>
    <t>6d</t>
  </si>
  <si>
    <t>Master Data Management Associate</t>
  </si>
  <si>
    <t>Tesco</t>
  </si>
  <si>
    <t>TescoLondon Stock Exchange: TSCO: Operates a global network of grocery and retail stores.</t>
  </si>
  <si>
    <t>1+ YOEHigh school diploma; upper-intermediate English; Hungarian; 1-3 years relevant experience; proactivity; analytical skills; accuracy and attention to detail; effective communication.</t>
  </si>
  <si>
    <t>Oracle</t>
  </si>
  <si>
    <t>Data &amp; Analytics Product Manager - Supply</t>
  </si>
  <si>
    <t>Budapest or Bangalore</t>
  </si>
  <si>
    <t>Diageo</t>
  </si>
  <si>
    <t>DiageoLondon Stock Exchange: DGE: Produces and distributes premium alcoholic beverages worldwide.</t>
  </si>
  <si>
    <t>4+ YOE2+ Mgmt8+ years in data/analytics; Master’s degree; 4+ years in enterprise data analytics; 2+ years leadership; expertise in predictive modelling, segmentation, ROI measurement; 2+ years in B2B product/program management.</t>
  </si>
  <si>
    <t>SQL, Python, R, Tableau, Power BI, Excel, ETL, Cloud data platforms</t>
  </si>
  <si>
    <t>Operációtámogatási és adatgazdagítási specialista</t>
  </si>
  <si>
    <t>Intrum</t>
  </si>
  <si>
    <t>IntrumNasdaq Stockholm: INTRUM: Provides credit management and debt collection services to businesses.</t>
  </si>
  <si>
    <t>1+ YOESecondary education; 1-2 years experience; precise, deadline-driven; proficient in Excel; team player; problem solving; willing to learn. Power BI and English a plus.</t>
  </si>
  <si>
    <t>Excel, Power BI</t>
  </si>
  <si>
    <t>R0000038368 Manager, Centralized Data &amp; Sample Management - Poland / Spain / Hungary - FSP</t>
  </si>
  <si>
    <t>Madrid or Poland or Budapest</t>
  </si>
  <si>
    <t>Parexel</t>
  </si>
  <si>
    <t>Parexel: Provides clinical trial management and drug development consulting services.</t>
  </si>
  <si>
    <t>5+ YOEBachelor’s degree; 5+ years in Clinical Data Management or sample management; knowledge of third-party data; strong project management; communication skills; ability to work with globally distributed teams; willingness to travel.</t>
  </si>
  <si>
    <t>Electronic Data Capture (EDC), Rave, InForm, data management systems</t>
  </si>
  <si>
    <t>Erőmű adatelemző szakértő (Budapest, HU)</t>
  </si>
  <si>
    <t>Budapest or Debrecen</t>
  </si>
  <si>
    <t>E.ON</t>
  </si>
  <si>
    <t>E.ONXetra: EOAN: Operates energy networks and provides consumer energy solutions.</t>
  </si>
  <si>
    <t>5+ YOEStrong analytical skills with SQL, Power BI, Python; experience in data warehousing, automation, and IT systems in energy sector.</t>
  </si>
  <si>
    <t>Power BI, SQL, Python, Excel Macros, Power Apps, R, RStudio, Databricks, MS Power Platform</t>
  </si>
  <si>
    <t>1w</t>
  </si>
  <si>
    <t>Enterprise Data Office - Production Support Senior Analyst</t>
  </si>
  <si>
    <t>Citi</t>
  </si>
  <si>
    <t>CitiNYSE: C: Global financial institution providing retail, corporate, and investment banking services.</t>
  </si>
  <si>
    <t>4+ YOE4-6 years in production support; knowledge of ServiceNow, JIRA, Confluence; MS Office; SharePoint a plus; strong incident/problem management; English fluency.</t>
  </si>
  <si>
    <t>ServiceNow, Atlassian JIRA, Confluence, Agile, Microsoft Word, Microsoft Excel, Microsoft PowerPoint, MS Visio, SharePoint</t>
  </si>
  <si>
    <t>AI Data Specialist - Hungarian</t>
  </si>
  <si>
    <t>Contract, Part Time</t>
  </si>
  <si>
    <t>RWS</t>
  </si>
  <si>
    <t>RWSLondon Stock Exchange: RWS: Provides global translation, intellectual property, and AI language solutions.</t>
  </si>
  <si>
    <t>Freelance, part-time role for Hungarian language data work; remote; tasks include data collection, evaluation, annotation; need Hungarian native level and English proficiency; flexible schedule.</t>
  </si>
  <si>
    <t>Data annotation, Labeling</t>
  </si>
  <si>
    <t>SEO Expert</t>
  </si>
  <si>
    <t>Hustler Marketing</t>
  </si>
  <si>
    <t>Hustler Marketing: Provides data-driven email and SMS marketing for eCommerce brands.</t>
  </si>
  <si>
    <t>4+ YOE5 years+ SEO for ecommerce; client-facing; agency/freelance background; strong technical SEO; experience with Shopify/WooCommerce/Magento; English communication; remote work.</t>
  </si>
  <si>
    <t>Ahrefs, SEMrush, Screaming Frog, Google Analytics, Google Search Console, Shopify, WooCommerce, Magento, BigCommerce</t>
  </si>
  <si>
    <t>Senior Data Management Expert</t>
  </si>
  <si>
    <t>YouGov</t>
  </si>
  <si>
    <t>YouGovLondon Stock Exchange: YOU: International online market research and data analytics technology.</t>
  </si>
  <si>
    <t>Advanced Excel with macros; strong database management; fluent English and Hungarian; UNIX basics; SPSS; MS Access; Budapest-based hybrid role.</t>
  </si>
  <si>
    <t>Microsoft Excel, UNIX, SPSS, MS Access</t>
  </si>
  <si>
    <t>YouGovLondon Stock Exchange: YOU: Provides global consumer data and market research insights.</t>
  </si>
  <si>
    <t>Advanced Excel, strong database management, English and Hungarian, UNIX, SPSS, MS Access; hybrid Budapest; 3 days in office.</t>
  </si>
  <si>
    <t>Microsoft Excel, UNIX, SPSS, MS Access, Macros</t>
  </si>
  <si>
    <t>Downstream Business Analyst Expert</t>
  </si>
  <si>
    <t>MOL Group</t>
  </si>
  <si>
    <t>MOL GroupBudapest Stock Exchange: MOL: Integrated international providing oil and gas products.</t>
  </si>
  <si>
    <t>2+ YOEUniversity/college degree in finance/economics; 0-2 years’ experience; highly proficient in Excel; fluent English; strong financial/performance analysis; problem solving; structured thinking; collaborative.</t>
  </si>
  <si>
    <t>Microsoft Excel</t>
  </si>
  <si>
    <t>Finance Systems Manager</t>
  </si>
  <si>
    <t>Danaher</t>
  </si>
  <si>
    <t>DanaherNYSE: DHR: Global innovator in diagnostics, life sciences, and biotechnology solutions.</t>
  </si>
  <si>
    <t>BS/MS in Business, Finance, IT, Project or similar; strong QlikSense; proven ability to lead global cross-functional teams; analytical, problem-solving, and communication skills.</t>
  </si>
  <si>
    <t>QlikSense</t>
  </si>
  <si>
    <t>Software Engineer, Data Platform</t>
  </si>
  <si>
    <t>Pagos</t>
  </si>
  <si>
    <t>Pagos: Software platform that optimizes business payment infrastructure and data.</t>
  </si>
  <si>
    <t>8+ YOE8+ years of software engineering with a focus on data engineering; strong backend, APIs, and data pipelines; experience with cloud platforms and data technologies.</t>
  </si>
  <si>
    <t>SQL, REST, gRPC, AWS, GCP, Azure, Redshift, Clickhouse, Trino, StarRocks, Apache Iceberg, Postgres, S3, EMR, Glue, Kinesis, Athena, DBT</t>
  </si>
  <si>
    <t>Data engineer trainee</t>
  </si>
  <si>
    <t>Bosch</t>
  </si>
  <si>
    <t>Bosch: Global provider of technology for mobility and smart homes.</t>
  </si>
  <si>
    <t>Internship student with programming knowledge in Python and SQL; basic data science understanding; 20 hours/week minimum; Hungarian language; Git familiarity; English at least intermediate.</t>
  </si>
  <si>
    <t>Python, SQL, Pandas, Numpy, Scipy, Matplotlib, TensorFlow, Git</t>
  </si>
  <si>
    <t>Junior Operations Performance Manager (Budapest, HU, H-1095)</t>
  </si>
  <si>
    <t>Wizz Air</t>
  </si>
  <si>
    <t>Wizz AirLondon Stock Exchange: WIZZ: Ultra-low-cost airline offering point-to-point passenger flights.</t>
  </si>
  <si>
    <t>1+ YOE1-3+ years in data analysis; experience with data visualization; English fluency.</t>
  </si>
  <si>
    <t>MS Excel, Power Pivot, Power Query, Power BI, SQL, DAX, Data Visualization</t>
  </si>
  <si>
    <t>Senior Data Platform Engineer</t>
  </si>
  <si>
    <t>GSCF</t>
  </si>
  <si>
    <t>GSCF: Provides technology-enabled working capital and supply chain finance solutions.</t>
  </si>
  <si>
    <t>5+ YOE5+ years SQL, 3+ years data warehouse design/ops, 3+ years cloud (AWS/Azure/GCP), experience with Airflow/Dagster, 5+ years programming (Python/Java/Scala), experience with Snowflake/Redshift/Databricks/BigQuery</t>
  </si>
  <si>
    <t>SQL, Airflow, Dagster, Python, Java, Scala, Snowflake, Redshift, Databricks, BigQuery, dbt, Terraform, Power BI, Tableau, Power Query, DAX</t>
  </si>
  <si>
    <t>English Speaking Master Data Specialist (Budapest, HU, 1095)</t>
  </si>
  <si>
    <t>Computacenter</t>
  </si>
  <si>
    <t>ComputacenterLondon Stock Exchange: CCC: Provides IT infrastructure services and technology products to organizations.</t>
  </si>
  <si>
    <t>1+ YOEEnglish fluent; experience with master data in IT; hardware knowledge; familiarity with ServiceNow or ITSM tools; strong Excel (Macro, VBA); SQL; ability to work in virtual teams and manage customer expectations.</t>
  </si>
  <si>
    <t>ServiceNow, SQL, Excel, VBA, SAP, CRM/ERP systems</t>
  </si>
  <si>
    <t>Tech Lead (Database Operation) (Törökbálint, HU, 2045)</t>
  </si>
  <si>
    <t>Törökbálint, Budapest, Hungary</t>
  </si>
  <si>
    <t>Yettel</t>
  </si>
  <si>
    <t>Yettel: Provides mobile network, internet, and television services to consumers.</t>
  </si>
  <si>
    <t>Experience as Database Administrator and Team Lead; strong MySQL and MS SQL Server expertise; hands-on DB development; HA/DR and performance tuning; leadership and vendor coordination.</t>
  </si>
  <si>
    <t>MSSQL, MySQL, Oracle, PostgreSQL, Redis, Dynatrace, CI/CD</t>
  </si>
  <si>
    <t>2w</t>
  </si>
  <si>
    <t>BI Analyst Team Lead</t>
  </si>
  <si>
    <t>Sony</t>
  </si>
  <si>
    <t>SonyNew York Stock Exchange: SONY: Manufactures consumer electronics and produces gaming and entertainment content.</t>
  </si>
  <si>
    <t>2+ YOE2+ MgmtLead a BI team (3–5 people); develop Power BI dashboards; manage stakeholder expectations; ensure data quality and timely insights.</t>
  </si>
  <si>
    <t>Power BI, SQL, Python, Databricks, MS Power Automate</t>
  </si>
  <si>
    <t>Information Management Officer</t>
  </si>
  <si>
    <t>Kyiv or Budapest</t>
  </si>
  <si>
    <t>UNHCR</t>
  </si>
  <si>
    <t>UNHCR: Protects and supports refugees and displaced people globally.</t>
  </si>
  <si>
    <t>5+ YOE5+ years in data or statistics; degree in Social Science, Statistics, Information Management, Geography/GIS; experience in humanitarian context; strong data management, analytics, and GIS skills.</t>
  </si>
  <si>
    <t>ArcGIS, Power BI, Kobo Toolbox, ActivityInfo, RAIS+, SIDAR</t>
  </si>
  <si>
    <t>Sony Europe</t>
  </si>
  <si>
    <t>Sony EuropeNYSE: SONY: Sells and supports consumer electronics and entertainment technology products.</t>
  </si>
  <si>
    <t>3+ YOE2+ MgmtLeadership of a 3–5 person BI team; Power BI, SQL, Python; stakeholder management; Pan-European stakeholder experience.</t>
  </si>
  <si>
    <t>Power BI, SQL, Python, Databricks, Power Automate, MS SQL</t>
  </si>
  <si>
    <t>Data Engineer</t>
  </si>
  <si>
    <t>Romania or Europe</t>
  </si>
  <si>
    <t>Suvoda</t>
  </si>
  <si>
    <t>Suvoda: Provide software and services for global clinical trial management.</t>
  </si>
  <si>
    <t>4+ YOE4+ years data engineering; AWS data lake tech; Python/SQL; data mesh understanding; CI/CD; ETL/ELT.</t>
  </si>
  <si>
    <t>AWS, Python, SQL, Airflow, Terraform, CloudFormation, PySpark, Kafka, Kinesis, S3, Glue, Lake Formation, Athena, Redshift</t>
  </si>
  <si>
    <t>Senior Data Engineer (ADB + Python)</t>
  </si>
  <si>
    <t>Armenia or Bulgaria or Georgia or Hungary or Lithuania or Poland or Portugal or Romania or Uzbekistan</t>
  </si>
  <si>
    <t>Exadel</t>
  </si>
  <si>
    <t>Exadel: Provides global software engineering and digital transformation services.</t>
  </si>
  <si>
    <t>5+ YOE5+ years of software development; expert in Apache Spark (Databricks/Azure Synapse/Fabric); Python with Pandas/Polars; Delta Tables; data processing and scalable microservices; strong problem-solving; ability to work independently and with teams.</t>
  </si>
  <si>
    <t>Apache Spark, Databricks, Azure Synapse, Azure Fabric, Python, Pandas, Polars, Parquet, Delta Tables, LangGraph, LangChain, RAG Pipelines, Multi-modal LLMs, MongoDB, Azure SQL, FastAPI, Docker, Kubernetes</t>
  </si>
  <si>
    <t>Clinical Data Manager</t>
  </si>
  <si>
    <t>Hungary</t>
  </si>
  <si>
    <t>Clario</t>
  </si>
  <si>
    <t>Clario: Provides digital endpoint data solutions for clinical trials.</t>
  </si>
  <si>
    <t>1+ YOEBachelor’s degree in Computer Science or Life Sciences (or related field); 1+ year in a similar pharma/CRO role; knowledge of relational databases and data validation; SAS knowledge desirable; proficient with Word/Excel/Access; strong documentation and communication skills.</t>
  </si>
  <si>
    <t>SAS, Relational Databases, Microsoft Word, Microsoft Excel, Microsoft Access</t>
  </si>
  <si>
    <t>Data Acquisition Expert (eSource Specialist) (m/w/d) - Homebased</t>
  </si>
  <si>
    <t>Frankfurt or Budapest or Espoo or Madrid or Reading or Dublin or London or Milan or Rome or Turku or Barcelona or Porto Salvo</t>
  </si>
  <si>
    <t>IQVIA</t>
  </si>
  <si>
    <t>IQVIANYSE: IQV: Global provider of clinical research and healthcare data analytics.</t>
  </si>
  <si>
    <t>5+ YOE5+ years in clinical data management and EHR/EDC integration; strong knowledge of EDC, FHIR, and clinical trial processes; excellent communication and collaboration skills.</t>
  </si>
  <si>
    <t>FHIR, EHR, EDC, eCRF</t>
  </si>
  <si>
    <t>Junior Operations Analyst- Data Platforms</t>
  </si>
  <si>
    <t>NN Group</t>
  </si>
  <si>
    <t>NN GroupEuronext Amsterdam: NN: Offers life insurance, pensions, and investment management services globally.</t>
  </si>
  <si>
    <t>0+ YOEBachelor’s in Finance or Economics; strong Excel; SQL a plus; English proficiency; proactive, detail-oriented; independent and collaborative.</t>
  </si>
  <si>
    <t>Databricks, Excel, SQL</t>
  </si>
  <si>
    <t>Payroll Specialist</t>
  </si>
  <si>
    <t>Budapest or Prague or Warsaw</t>
  </si>
  <si>
    <t>Johnson Controls</t>
  </si>
  <si>
    <t>Johnson ControlsNYSE: JCI: Provides energy-efficient building automation, HVAC, and fire security systems.</t>
  </si>
  <si>
    <t>Data-focused analyst role supporting UK &amp; Ireland payroll data with external partners; strong Excel skills and English communication; early-career welcome.</t>
  </si>
  <si>
    <t>Microsoft Excel, Payroll systems, Data analysis tools</t>
  </si>
  <si>
    <t>Linguistic Engineer EU</t>
  </si>
  <si>
    <t>Smartling</t>
  </si>
  <si>
    <t>Smartling: Provides cloud-based translation software and professional localization services.</t>
  </si>
  <si>
    <t>5+ YOE5+ years in linguistic engineering or language data science; expert linguistics; Python; data science techniques; NLP; notebooks/terminals.</t>
  </si>
  <si>
    <t>Python, SQL, Looker, SageMaker, Athena, Spark, S3</t>
  </si>
  <si>
    <t>Senior Database Administrator</t>
  </si>
  <si>
    <t>Cloudbeds</t>
  </si>
  <si>
    <t>Cloudbeds: Cloud-based management platform for independent hospitality businesses.</t>
  </si>
  <si>
    <t>5+ YOE5+ years as a Database Administrator with AWS Aurora MySQL/PostgreSQL; strong SQL, performance tuning, and cloud experience.</t>
  </si>
  <si>
    <t>Amazon Aurora MySQL, PostgreSQL, MySQL, SQL, AWS, DMS, Kinesis, Kafka, Percona, Liquibase, Doctrine, Alembic</t>
  </si>
  <si>
    <t>Senior Data Engineer (Budapest, HU)</t>
  </si>
  <si>
    <t>Capgemini</t>
  </si>
  <si>
    <t>CapgeminiEuronext Paris: CAP: Global provider of IT consulting and digital transformation services.</t>
  </si>
  <si>
    <t>10+ YOE10+ years in data engineering or related roles; strong SQL, data modelling, ETL; cloud platforms (Snowflake); Python and scripting; GenAI/AI/LLMs experience; leadership experience; finance domain knowledge.</t>
  </si>
  <si>
    <t>Snowflake, Power BI, Apache Airflow, OLAP, Python, Shell scripting</t>
  </si>
  <si>
    <t>Data Scientist (774364)</t>
  </si>
  <si>
    <t>Ericsson</t>
  </si>
  <si>
    <t>EricssonNasdaq Stockholm: ERIC: Provides telecommunications equipment, software, and managed network services.</t>
  </si>
  <si>
    <t>BS or MS in Computer Science/Data Science/Statistics; ML/DL/NLP/LLMs; Python/PySpark; SQL; AWS SageMaker/Glue/Lambda; data analysis; collaboration.</t>
  </si>
  <si>
    <t>Python, PySpark, SQL, AWS SageMaker, Glue, Lambda</t>
  </si>
  <si>
    <t>Specialist - Master Data Management</t>
  </si>
  <si>
    <t>Avis Budget Group</t>
  </si>
  <si>
    <t>Avis Budget GroupNASDAQ: CAR: Provides vehicle rental and car sharing services globally.</t>
  </si>
  <si>
    <t>Proficient in Hungarian and English; shared service experience preferred; strong admin, problem-solving, and detail-oriented skills; proficient in MS Office, especially Excel.</t>
  </si>
  <si>
    <t>Microsoft Excel, Microsoft Office</t>
  </si>
  <si>
    <t>Data Analyst</t>
  </si>
  <si>
    <t>Budapest or Pécs</t>
  </si>
  <si>
    <t>Harman</t>
  </si>
  <si>
    <t>Harman: Designs and engineers connected products for automakers and consumers.</t>
  </si>
  <si>
    <t>3+ YOE3+ years in data warehousing/analytics; BI tools (Power BI, Qlik Sense, Tableau); Snowflake; hybrid work; supply chain knowledge.</t>
  </si>
  <si>
    <t>Snowflake, Power BI, Qlik Sense, Excel, Tableau</t>
  </si>
  <si>
    <t>3w</t>
  </si>
  <si>
    <t>Harman: Manufactures audio equipment and infotainment systems for global markets</t>
  </si>
  <si>
    <t>3+ YOE3+ years in data warehousing, analytics, and business analysis; proficient with BI tools (Qlik Sense, Power BI, Tableau).</t>
  </si>
  <si>
    <t>Power BI, Qlik Sense, Snowflake, Tableau, OBIEE</t>
  </si>
  <si>
    <t>Staff Product Analytics Engineer</t>
  </si>
  <si>
    <t>North America or Europe</t>
  </si>
  <si>
    <t>Runway</t>
  </si>
  <si>
    <t>Runway: Develops generative AI tools for video and image production.</t>
  </si>
  <si>
    <t>4+ YOE4+ years with data analytics/engineering, SQL/ETL/Python, cross-functional collaboration, data privacy, and tooling experience.</t>
  </si>
  <si>
    <t>SQL, ETL, Python, Data modeling</t>
  </si>
  <si>
    <t>Marketing Campaign Analytics Expert (fixed term) (Budapest, HU, 1112)</t>
  </si>
  <si>
    <t>4iG</t>
  </si>
  <si>
    <t>4iGBudapest Stock Exchange: 4IG: Provides integrated telecommunications and information technology services.</t>
  </si>
  <si>
    <t>1+ YOE1-3 years marketing or campaign management experience; bachelor's degree; English proficiency; telecom industry knowledge; SQL skills; familiar with Jira and Confluence.</t>
  </si>
  <si>
    <t>SQL, Jira, Confluence, Pega</t>
  </si>
  <si>
    <t>Adatbázis fejlesztő (Budapest, HU)</t>
  </si>
  <si>
    <t>Intesa Sanpaolo</t>
  </si>
  <si>
    <t>Intesa SanpaoloBIT: ISP: Provides comprehensive banking and financial services to international clients.</t>
  </si>
  <si>
    <t>Experience with Oracle PLSQL; data analysis, reporting, and data warehouse support; strong IT skills and problem solving.</t>
  </si>
  <si>
    <t>Oracle PLSQL, SQL, SAS, VBA</t>
  </si>
  <si>
    <t>Senior Marketing Analyst (AI &amp; Web3)</t>
  </si>
  <si>
    <t>Somnia</t>
  </si>
  <si>
    <t>Somnia: High-performance Layer 1 blockchain for decentralized consumer applications.</t>
  </si>
  <si>
    <t>4+ YOE4+ years in data analytics within DeFi/L1/L2; strong SQL; marketing attribution; web analytics; on-chain data experience; proficiency with analytics and visualization tools; experience with Agentic AI and on-chain data interpretation.</t>
  </si>
  <si>
    <t>SQL, GTM (Server-Side), GA4, Tableau, Power BI, Looker, Kaito, Python, R, NumPy, Pandas</t>
  </si>
  <si>
    <t>MDG Analyst (Budapest, HU)</t>
  </si>
  <si>
    <t>Paramount Skydance</t>
  </si>
  <si>
    <t>Paramount SkydanceNASDAQ: PSKY: Produces and distributes films and television content globally.</t>
  </si>
  <si>
    <t>0+ YOEBachelor's in Finance/Accounting/IT; 0-2 years data management/finance; ERP knowledge a plus; strong Excel; fluent English.</t>
  </si>
  <si>
    <t>SAP, Oracle, Excel</t>
  </si>
  <si>
    <t>EMEA Wealth Client Data Analyst</t>
  </si>
  <si>
    <t>BlackRock</t>
  </si>
  <si>
    <t>BlackRockNYSE: BLK: Provides investment management, risk analytics, and advisory services globally.</t>
  </si>
  <si>
    <t>1+ YOE1+ year in data/analytics or similar; basic SQL; English; CRM (Microsoft Dynamics) experience preferred; financial services experience a plus.</t>
  </si>
  <si>
    <t>SQL, Python, CRM (Microsoft Dynamics)</t>
  </si>
  <si>
    <t>Szakmai gyakorlat logisztikai területre (Budapest, HU)</t>
  </si>
  <si>
    <t>Gedeon Richter</t>
  </si>
  <si>
    <t>Gedeon RichterBudapest Stock Exchange: RICHTER: Develops, manufactures, and distributes global pharmaceutical and biotechnology medicines.</t>
  </si>
  <si>
    <t>Active full-time student in higher education; strong communication; teamwork; proactive; MS Office.</t>
  </si>
  <si>
    <t>Power Query, Power BI, MS Office</t>
  </si>
  <si>
    <t>Master Data and Product Specialist (Budapest, HU)</t>
  </si>
  <si>
    <t>Vodafone</t>
  </si>
  <si>
    <t>VodafoneLondon Stock Exchange: VOD: Provides telecommunications and digital services to consumers and businesses.</t>
  </si>
  <si>
    <t>2+ YOE2-3 years in data governance/MDM, data quality management, automation, analytics; experience with SAP/Oracle planning interfaces; strong Excel/Power BI; stakeholder collaboration with planning teams and OEMs.</t>
  </si>
  <si>
    <t>SAP, SAP APO, SAP IBP, Oracle, ERP-to-planning-system interfaces, Power BI, Advanced Excel</t>
  </si>
  <si>
    <t>Playson</t>
  </si>
  <si>
    <t>Playson: Develops digital slot games and software for online casinos.</t>
  </si>
  <si>
    <t>5+ YOE5+ years in data or backend engineering on production systems; experience with columnar databases, streaming systems, SQL and a programming language; focus on reliability and failure modes.</t>
  </si>
  <si>
    <t>ClickHouse, Snowflake, BigQuery, Kafka, Pub/Sub, CDC, Python, Java, Scala</t>
  </si>
  <si>
    <t>4w</t>
  </si>
  <si>
    <t>Risk Operations, Specialist Payment Risk</t>
  </si>
  <si>
    <t>OKX</t>
  </si>
  <si>
    <t>OKX: Operates a global cryptocurrency exchange and decentralized Web3 wallet.</t>
  </si>
  <si>
    <t>2+ YOEFraud/risk operations experience; at least 2 years in fraud investigation; crypto/fintech risk focus; strong English; available for 24x7 shift; good communication.</t>
  </si>
  <si>
    <t>Chainalysis, Blockchain analytics tools</t>
  </si>
  <si>
    <t>Qneiform</t>
  </si>
  <si>
    <t>Qneiform: Provides an AI-driven talent intelligence platform for recruitment.</t>
  </si>
  <si>
    <t>Experience in data engineering and constructing data pipelines. Strong SQL and Python skills.</t>
  </si>
  <si>
    <t>1mo</t>
  </si>
  <si>
    <t>Tableau Frontend BI Professional</t>
  </si>
  <si>
    <t>INNIO</t>
  </si>
  <si>
    <t>INNIO: Manufactures gas engines and distributed power generation systems.</t>
  </si>
  <si>
    <t>2+ YOE2-5 years Tableau experience; solid SQL; strong communication.</t>
  </si>
  <si>
    <t>Tableau, SQL, Databricks, Python (nice-to-have)</t>
  </si>
  <si>
    <t>BI Full Stack Developer</t>
  </si>
  <si>
    <t>INNIO: Manufactures gas engines and decentralized energy systems.</t>
  </si>
  <si>
    <t>Strong backend BI foundation; SQL expert; Databricks data validation; Python automation; backend-to-frontend BI enablement.</t>
  </si>
  <si>
    <t>SQL, Databricks, Python, dbt, Dagster</t>
  </si>
  <si>
    <t>Data Analytics Analyst</t>
  </si>
  <si>
    <t>Emerson</t>
  </si>
  <si>
    <t>EmersonNYSE: EMR: Provides industrial automation equipment and engineering software solutions.</t>
  </si>
  <si>
    <t>2+ YOE2+ years in analytics, reporting, and data transformation; strong SQL; experience with BI tools; ability to deliver dashboards and insights.</t>
  </si>
  <si>
    <t>SQL, PowerBI, Tableau, Qubole, Snowflake, DBT, Python, R</t>
  </si>
  <si>
    <t>Data Scientist</t>
  </si>
  <si>
    <t>TAKKT</t>
  </si>
  <si>
    <t>TAKKTXETRA: TTK: B2B omnichannel distributor of business equipment and warehouse supplies</t>
  </si>
  <si>
    <t>Degree in Computer Science, Data Science, Mathematics, Physics, or related field; strong Python or R; ML frameworks; experience with LLMs and generative AI; knowledge of cloud; production deployment experience.</t>
  </si>
  <si>
    <t>Python, R, Pandas, Scikit-learn, PyTorch, TensorFlow, OpenAI, Hugging Face, Azure, AWS, GCP</t>
  </si>
  <si>
    <t>Monetization Analyst - Leaply</t>
  </si>
  <si>
    <t>Spain or Lithuania or Poland or Ukraine or Europe</t>
  </si>
  <si>
    <t>Skelar</t>
  </si>
  <si>
    <t>Skelar: Creates and scales international technology businesses across multiple niches.</t>
  </si>
  <si>
    <t>2+ YOE2+ years in data or operations analytics; strong SQL; Tableau; Amplitude; interest in AI/automation.</t>
  </si>
  <si>
    <t>BigQuery, Tableau, Amplitude, AI/ML Tools</t>
  </si>
  <si>
    <t>Senior Analytics Engineer</t>
  </si>
  <si>
    <t>PandaDoc</t>
  </si>
  <si>
    <t>PandaDoc: All-in-one document workflow automation and electronic signature platform.</t>
  </si>
  <si>
    <t>5+ YOE5+ years in analytics engineering or data engineering; expert SQL; strong dbt; Snowflake or similar warehouse; Python; data governance; SaaS metrics knowledge.</t>
  </si>
  <si>
    <t>Snowflake, dbt, Salesforce, HubSpot, Recurly, Select Star, Monte Carlo, Hightouch, PostHog, Python, SQL, Airflow</t>
  </si>
  <si>
    <t>Europe or Asia</t>
  </si>
  <si>
    <t>Nansen</t>
  </si>
  <si>
    <t>Nansen: Provides blockchain data analytics and market intelligence for investors.</t>
  </si>
  <si>
    <t>3+ YOE3+ years in data analysis (product/growth/marketing); proficient in SQL and Python; crypto trading experience; AI tool experience; OKR familiarity; strong crypto markets knowledge.</t>
  </si>
  <si>
    <t>SQL, Python, dbt, Claude Code, Cursor</t>
  </si>
  <si>
    <t>Catalog Quality Senior Specialist</t>
  </si>
  <si>
    <t>Wolt</t>
  </si>
  <si>
    <t>Wolt: Connecting consumers with local restaurants and retail merchants.</t>
  </si>
  <si>
    <t>3+ YOE3+ years in catalog/content management or data QA; fluent in Hungarian and English; strong Excel/Google Sheets skills; ability to collaborate with stakeholders and vendors.</t>
  </si>
  <si>
    <t>Microsoft Excel, Google Sheets</t>
  </si>
  <si>
    <t>Junior AI Prompt &amp; Workflow Specialist</t>
  </si>
  <si>
    <t>Full Time, Contract</t>
  </si>
  <si>
    <t>UniCredit</t>
  </si>
  <si>
    <t>UniCreditBorsa Italiana: UCG: Pan-European bank providing retail, corporate, and investment banking services.</t>
  </si>
  <si>
    <t>2+ YOE1–3 years in digital, data, process improvement, business analysis, or tech-related fields; strong English; interest in AI and technology; daily use of generative AI tools; advanced prompt principles; ability to translate business problems into AI approaches; experience with large language models is a plus; strong communication with business users;...</t>
  </si>
  <si>
    <t>Copilot Chat, ChatGPT, Google Gemini</t>
  </si>
  <si>
    <t>Latvia or Spain or Estonia or Europe</t>
  </si>
  <si>
    <t>Bondora</t>
  </si>
  <si>
    <t>Bondora: European digital platform for consumer lending and P2P investing.</t>
  </si>
  <si>
    <t>Proven credit modeling experience; strong Python/SQL, ML libraries; production data pipelines; cloud (Azure); containerization (Docker/Kubernetes); data visualization (Tableau).</t>
  </si>
  <si>
    <t>Python, SQL, scikit-learn, TensorFlow, PyTorch, Azure, Docker, Kubernetes, Tableau</t>
  </si>
  <si>
    <t>Marketing Data Engineer</t>
  </si>
  <si>
    <t>United States or India or Europe</t>
  </si>
  <si>
    <t>LHH</t>
  </si>
  <si>
    <t>LHHSIX Swiss Exchange: ADEN: Global provider of talent development and career transition services.</t>
  </si>
  <si>
    <t>4+ YOEDesigning data architecture, building data models, and delivering marketing analytics dashboards.</t>
  </si>
  <si>
    <t>SQL, Azure, dbt, Airflow, Fivetran, Stitch, GA4, Salesforce, Pardot, Marketing Cloud, Looker Studio, Power BI</t>
  </si>
  <si>
    <t>Business Analyst</t>
  </si>
  <si>
    <t>Stare Miasto or Brno or Bucharest or Budapest</t>
  </si>
  <si>
    <t>Kramp</t>
  </si>
  <si>
    <t>Kramp: Wholesaler of spare parts and accessories for agricultural machinery.</t>
  </si>
  <si>
    <t>3+ YOEBachelor or Master in related field; 3-7 years analytics experience; fluent in English and Polish/Czech/Hungarian/Romanian; proficient in Tableau, SQL, or Power BI; strong stakeholder management and advisory skills.</t>
  </si>
  <si>
    <t>Tableau, SQL, Power BI</t>
  </si>
  <si>
    <t>Commercial Analytics Business Analyst (fixed-term)</t>
  </si>
  <si>
    <t>Roche</t>
  </si>
  <si>
    <t>RocheSIX Swiss Exchange: ROG: Develops and manufactures innovative pharmaceuticals and diagnostic tests.</t>
  </si>
  <si>
    <t>Experience with Snowflake and Tableau; knowledge of ThoughtSpot and AI/ML; Agile/Scrum; strong communication in English.</t>
  </si>
  <si>
    <t>Snowflake, Tableau, ThoughtSpot, AI/ML frameworks, Scrum/Kanban</t>
  </si>
  <si>
    <t>Database Engineer (Independent Contractor)</t>
  </si>
  <si>
    <t>Poland or Hungary or Ukraine</t>
  </si>
  <si>
    <t>Jabil</t>
  </si>
  <si>
    <t>JabilNYSE: JBL: Provides design, engineering, and manufacturing services for global brands.</t>
  </si>
  <si>
    <t>ETL/ELT experience with cloud data platforms; strong SQL; experience with data modeling and CI/CD; independent contractor role.</t>
  </si>
  <si>
    <t>Azure, Databricks, Spark, ClickHouse, Airflow, dbt, Kafka, Event Hubs, Delta Lake, Synapse, Data Factory, Snowflake, BigQuery, Redshift, Python</t>
  </si>
  <si>
    <t>Data Analyst I</t>
  </si>
  <si>
    <t>Parker</t>
  </si>
  <si>
    <t>Parker: Provides virtual corporate cards and financial software for eCommerce businesses.</t>
  </si>
  <si>
    <t>Proficient in SQL; Python for data workflows; strong data modeling; ability to translate questions into metrics; AI-first analytics mindset; ownership mindset; strong business judgment and clarity.</t>
  </si>
  <si>
    <t>SQL, Python</t>
  </si>
  <si>
    <t>Quality Review &amp; Reporting Analyst</t>
  </si>
  <si>
    <t>Cushman &amp; Wakefield</t>
  </si>
  <si>
    <t>Cushman &amp; WakefieldNYSE: CWK: Provides commercial real estate and property management services globally.</t>
  </si>
  <si>
    <t>Bachelor's or master's degree required; no prior experience; English intermediate; strong IT, MS Office; analytical and communicative; team-oriented and proactive.</t>
  </si>
  <si>
    <t>Microsoft Office, IT tools</t>
  </si>
  <si>
    <t>CEE Customer Performance Lead</t>
  </si>
  <si>
    <t>Budapest or Bucharest or Praha or Warsaw or Kiev</t>
  </si>
  <si>
    <t>Opella</t>
  </si>
  <si>
    <t>Opella: Manufactures and sells over-the-counter medicines and health supplements.</t>
  </si>
  <si>
    <t>5+ YOEMinimum 5 years’ experience in Revenue Management in pharma; degree in econometrics, economics or engineering; highly collaborative; strong analytical thinking; advanced Excel; fluent in English; experience leading multi-market teams.</t>
  </si>
  <si>
    <t>Excel</t>
  </si>
  <si>
    <t>SAP Business Data Cloud Consultant, Data &amp; Analytics (Budapest, HU, 1031)</t>
  </si>
  <si>
    <t>SAP</t>
  </si>
  <si>
    <t>SAPFrankfurt Stock Exchange: SAP: Provides enterprise software for business operations and data management.</t>
  </si>
  <si>
    <t>2+ YOEMaster’s degree preferred; strong analytical skills; English C1; SAP BW/4HANA data/analytics expertise; 2+ years SAP analytics experience; SAP certifications.</t>
  </si>
  <si>
    <t>SAP BW/4HANA, SAP Datasphere, SAP Data Service, SAP Data Intelligence, SAP Analytics Cloud, SAP Business Data Cloud (BDC), SAP Business Technology Platform (BTP)</t>
  </si>
  <si>
    <t>AI Engineer</t>
  </si>
  <si>
    <t>Austria or Europe</t>
  </si>
  <si>
    <t>Platomics</t>
  </si>
  <si>
    <t>Platomics: Automating regulatory compliance for in vitro diagnostic manufacturers and laboratories.</t>
  </si>
  <si>
    <t>7+ YOE7+ years AI/ML engineering or data science; 5+ years deploying production AI/ML systems; NLP/ document processing/ unstructured data; ML/LLM systems; regulated domains; strong Python; cloud experience (AWS/Azure/GCP).</t>
  </si>
  <si>
    <t>Python, ML Frameworks, NLP, Document Processing, Computer Vision, Unstructured Data, MLOps, Monitoring, Deployment, AWS, Azure, GCP</t>
  </si>
  <si>
    <t>Szolgáltatás fejlesztési szakértő (Budapest, HU, 1087)</t>
  </si>
  <si>
    <t>Allianz</t>
  </si>
  <si>
    <t>AllianzFrankfurt Stock Exchange: ALV: Provides global insurance, asset management, and assistance services.</t>
  </si>
  <si>
    <t>2+ YOEHigher education required; 2-3 years in complex process development; strong communication; analytical; interest in anti-fraud; knowledge of AI tools.</t>
  </si>
  <si>
    <t>AI tools, Data analysis tools, Automation systems</t>
  </si>
  <si>
    <t>Senior Database Engineer (AWS/PostgreSQL)</t>
  </si>
  <si>
    <t>Europe or Croatia</t>
  </si>
  <si>
    <t>BB Agency</t>
  </si>
  <si>
    <t>BB Agency: Strategic digital agency specializing in branding and product design.</t>
  </si>
  <si>
    <t>5+ YOE5+ years in database engineering; SaaS multi-tenant architecture; PostgreSQL internals; Oracle-to-Postgres migration; AWS Aurora PostgreSQL and QLDB experience; English communication; remote work in Europe/LATAM.</t>
  </si>
  <si>
    <t>Amazon Aurora PostgreSQL, Amazon QLDB, Oracle PL/SQL, PostgreSQL, AWS CDK, TypeScript, Java</t>
  </si>
  <si>
    <t>Safety &amp; PV Specialist I (ICSR Processing + MedDRA Coding) - Hybrid Based</t>
  </si>
  <si>
    <t>Syneos Health</t>
  </si>
  <si>
    <t>Syneos Health: Provides clinical and commercial services to biopharmaceutical companies.</t>
  </si>
  <si>
    <t>0+ YOEPerform ICSR processing, MedDRA coding, data management, and safety reporting per GVP/GCP; hybrid, full-time.</t>
  </si>
  <si>
    <t>MedDRA, ICSR processing, data management, pharmacovigilance</t>
  </si>
  <si>
    <t>Deel</t>
  </si>
  <si>
    <t>Deel: Global payroll and HR platform for international teams.</t>
  </si>
  <si>
    <t>3+ YOE3+ years data engineering experience; strong SQL; Python; ETL tooling; data modeling; cross-functional collaboration.</t>
  </si>
  <si>
    <t>SQL, Python, Apache Airflow, Data Warehouse, ETL</t>
  </si>
  <si>
    <t>Freelance Senior Data Analyst</t>
  </si>
  <si>
    <t>Sofia or Bulgaria or Macedonia or Poland or Portugal or Ukraine or XK</t>
  </si>
  <si>
    <t>Valtech</t>
  </si>
  <si>
    <t>Valtech: Global agency providing digital transformation and experience innovation services</t>
  </si>
  <si>
    <t>5+ YOE5+ years with Adobe Analytics and Accutics; dashboard creation; CID links; client-facing; PowerPoint/Excel; strong analytical and communication skills; independent; willing to learn.</t>
  </si>
  <si>
    <t>Adobe Analytics, Accutics, PowerPoint, Excel</t>
  </si>
  <si>
    <t>Senior Data Analyst</t>
  </si>
  <si>
    <t>Zocks</t>
  </si>
  <si>
    <t>Zocks: AI platform automating administrative tasks for financial advisors.</t>
  </si>
  <si>
    <t>4+ YOE4+ years in data analysis/BI, SQL proficiency, strong data visualization, experience with B2B IT products; excellent English and Hungarian; Bachelor’s in Data Science/Statistics/Computer Science/Business.</t>
  </si>
  <si>
    <t>SQL, Power BI, Tableau, Looker, AWS, Python, Excel</t>
  </si>
  <si>
    <t>Research Data Associate</t>
  </si>
  <si>
    <t>Syngenta Group</t>
  </si>
  <si>
    <t>Syngenta Group: Produces seeds and crop protection products for global agriculture.</t>
  </si>
  <si>
    <t>3+ YOE3+ years in agricultural research data management or analytics; SQL, data visualization, GIS; experience in experimental design and statistical analysis; English proficiency.</t>
  </si>
  <si>
    <t>SQL, Power BI, Tableau, GIS software, Python, R, Drone imagery processing</t>
  </si>
  <si>
    <t>Associate Managing Consultant, Advisors – Performance Analytics</t>
  </si>
  <si>
    <t>Budapest or Hungary</t>
  </si>
  <si>
    <t>Mastercard</t>
  </si>
  <si>
    <t>MastercardNYSE: MA: Facilitates global electronic payment transactions and financial technology services.</t>
  </si>
  <si>
    <t>Undergraduate degree with data analytics experience; client management; large data analysis; Python, R, SQL, SAS; advanced MS Office; English and local language; willingness to travel.</t>
  </si>
  <si>
    <t>Python, R, SQL, SAS, Hadoop, Impala, Hive, PySpark, Tableau, Power BI, Excel</t>
  </si>
  <si>
    <t>Resource Planner</t>
  </si>
  <si>
    <t>Marshmallow</t>
  </si>
  <si>
    <t>Marshmallow: Provides digital insurance and financial services for international migrants.</t>
  </si>
  <si>
    <t>Experience in Workforce Management/Resource Planning; strong analytics; advanced Google Sheets/Excel; Looker/BigQuery/SQL; experience with WFM systems (Assembled) and cross-functional collaboration.</t>
  </si>
  <si>
    <t>Google Sheets, Excel, Looker, BigQuery, SQL, Assembled WFM</t>
  </si>
  <si>
    <t>LHHSIX Swiss Exchange: ADEN: Provides professional recruitment, coaching, and career transition services.</t>
  </si>
  <si>
    <t>4+ YOE4+ years in data engineering for marketing or revenue operations; SQL; ETL/ELT frameworks; cloud data warehouses; data modeling; dashboards.</t>
  </si>
  <si>
    <t>SQL, Azure, dbt, Airflow, Fivetran, Stitch, GA4, Salesforce, Pardot/Marketing Cloud, Looker Studio, Power BI, Salesforce CRM, Google Ads, Marketing Automation</t>
  </si>
  <si>
    <t>Reporting &amp; Analytics Center of Excellence - Analyst</t>
  </si>
  <si>
    <t>Albemarle</t>
  </si>
  <si>
    <t>AlbemarleNYSE: ALB: Manufactures specialty chemicals including lithium and bromine for global markets.</t>
  </si>
  <si>
    <t>1+ YOEEnglish fluent; 1–3 years in reporting/analytics; experience with SAP S/4, SAP BW, Databricks, HANA Enterprise, SAP Analytics Cloud, SAP BO, Azure, PowerBI, Celonis or similar.</t>
  </si>
  <si>
    <t>SAP S/4, SAP BW, Databricks, HANA Enterprise, SAP Analytics Cloud, SAP Business Objects, Microsoft Azure, PowerBI, Celonis</t>
  </si>
  <si>
    <t>Data Analyst Consultant - Industrial Projects (Energy sector) (Budapest, BU, HU, 1139)</t>
  </si>
  <si>
    <t>Bilfinger</t>
  </si>
  <si>
    <t>BilfingerXETRA: GBF: Provides industrial services and engineering for the process industry.</t>
  </si>
  <si>
    <t>4+ YOEBachelor's in Engineering, Data Science, Statistics or similar; 4+ years industrial analytics; Python/R/SQL; Power BI/Tableau/Grafana; PLC/SCADA/MES experience; strong statistical skills; good communication.</t>
  </si>
  <si>
    <t>Python, R, SQL, Power BI, Tableau, Grafana</t>
  </si>
  <si>
    <t>Senior Consultant - Financial Services Risk Management (Budapest, HU, 1132)</t>
  </si>
  <si>
    <t>EY</t>
  </si>
  <si>
    <t>EY: Global provider of audit, tax, consulting, and transaction services.</t>
  </si>
  <si>
    <t>2+ YOESenior Consultant with risk management experience in banking; strong analytical, client communication, and leadership skills.</t>
  </si>
  <si>
    <t>Microsoft Excel, Microsoft Word, Microsoft PowerPoint, Python, R, VBA, SAS, MATLAB, C++, SQL</t>
  </si>
  <si>
    <t>Senior Analyst - OCCRP PRO (Freelance)</t>
  </si>
  <si>
    <t>OCCRP</t>
  </si>
  <si>
    <t>OCCRP: Global network of journalists exposing organized crime and corruption.</t>
  </si>
  <si>
    <t>2+ YOE2+ years in financial crime, journalism, or related fields; ability to write for professional audiences; knowledge of money laundering, sanctions, corruption; English fluency; independent with remote collaboration.</t>
  </si>
  <si>
    <t>Open-source intelligence, Data analysis, Research</t>
  </si>
  <si>
    <t>Data Analysts &amp; Systems Specialist</t>
  </si>
  <si>
    <t>Bucharest or Sochaczew or Prague or Budapest</t>
  </si>
  <si>
    <t>Mars</t>
  </si>
  <si>
    <t>Mars: Global manufacturer of confectionery, pet food, and veterinary services.</t>
  </si>
  <si>
    <t>3+ YOEBachelor’s degree; 3-5 years FMCG experience; fluent in English; Power BI for visualization; Nielsen data/tools experience; data quality collaboration.</t>
  </si>
  <si>
    <t>Power BI, Nielsen data/tools</t>
  </si>
  <si>
    <t>Machine Learning Engineer II</t>
  </si>
  <si>
    <t>Signifyd</t>
  </si>
  <si>
    <t>Signifyd: AI-powered fraud protection and payment security for online retailers.</t>
  </si>
  <si>
    <t>3+ YOE3+ years of post-undergraduate experience; degree in computer science or related field; strong ML/stats background; Python and SQL proficiency; Linux familiarity.</t>
  </si>
  <si>
    <t>Python, PySpark, SQL, Linux</t>
  </si>
  <si>
    <t>Global Compensation &amp; Benefits Analyst</t>
  </si>
  <si>
    <t>ABBYY</t>
  </si>
  <si>
    <t>ABBYY: Provides intelligent document processing and process mining software.</t>
  </si>
  <si>
    <t>4+ YOE4–7 years in Compensation, Benefits, Total Rewards, or People Analytics; global and cross-country experience preferred; strong analytics with survey data; collaboration with TA, Finance, Payroll, and People Ops.</t>
  </si>
  <si>
    <t>Data Scientist (Remote)</t>
  </si>
  <si>
    <t>PickyStory</t>
  </si>
  <si>
    <t>PickyStory: Automates e-commerce upselling and product bundling for online merchants.</t>
  </si>
  <si>
    <t>5+ YOE5+ years data science with large-scale data, 2+ years ML, SQL/R/Python, strong math/statistics, ecommerce experience a plus, MSc/PhD a plus, remote multinational experience a plus.</t>
  </si>
  <si>
    <t>SQL, Python, R, Machine Learning</t>
  </si>
  <si>
    <t>Healthcare Patient Support &amp; Triage Specialist - AI Training</t>
  </si>
  <si>
    <t>United States or Argentina or Brazil or Mexico or Egypt or Kenya or Turkey or Germany or France or India or Indonesia or Thailand or Vietnam or Japan or Hong Kong or Korea or RU or Ukraine or China or Taiwan</t>
  </si>
  <si>
    <t>Lilt</t>
  </si>
  <si>
    <t>Lilt: AI-powered platform for enterprise translation and localization services.</t>
  </si>
  <si>
    <t>Native language speaker; advanced healthcare degree; proven patient support/triage experience; healthcare terminology knowledge.</t>
  </si>
  <si>
    <t>Senior Broker Analyst</t>
  </si>
  <si>
    <t>BrokerChooser</t>
  </si>
  <si>
    <t>BrokerChooser: Independent online platform for comparing and reviewing investment brokers.</t>
  </si>
  <si>
    <t>7+ YOE7+ years in investment management or brokerage; strong analytical and strategic thinking; deep capital markets knowledge; project management experience; independent with strong communication.</t>
  </si>
  <si>
    <t>Python, SQL, Ahrefs, Google Search Console, Excel, Google Analytics</t>
  </si>
  <si>
    <t>2mo</t>
  </si>
  <si>
    <t>Data Engineer Azure or Databricks (all genders) (Budapest, HU, 1117)</t>
  </si>
  <si>
    <t>adesso</t>
  </si>
  <si>
    <t>adessoXETRA: ADN1: IT consulting and custom software development for core business processes.</t>
  </si>
  <si>
    <t>Azure Databricks, Azure Data Lake, Azure SQL Data Warehouse; Python, SQL, Shell; data modeling, warehousing, governance, ETL/ELT; Hadoop, Spark; Bachelors or Masters in IT; business-fluent English; German language a plus.</t>
  </si>
  <si>
    <t>Azure Databricks, Azure Data Lake, Azure SQL Data Warehouse, Python, SQL, Shell Scripting, Hadoop, Spark</t>
  </si>
  <si>
    <t>Head of Strategy</t>
  </si>
  <si>
    <t>B2Spin</t>
  </si>
  <si>
    <t>B2Spin: Operates social casino gaming platforms and mobile games</t>
  </si>
  <si>
    <t>5+ YOE8+ MgmtSenior CRM leadership with 5+ years in lifecycle marketing, experience managing large teams, multi-brand CRM, data-driven, gaming industry preferred.</t>
  </si>
  <si>
    <t>Bloomreach, Retool, SQL, Looker, Tableau, Power BI</t>
  </si>
  <si>
    <t>Senior Data Engineer</t>
  </si>
  <si>
    <t>Europe or United Kingdom</t>
  </si>
  <si>
    <t>MyEdSpace</t>
  </si>
  <si>
    <t>MyEdSpace: Online platform providing live interactive lessons for secondary students.</t>
  </si>
  <si>
    <t>3+ YOESenior Data Engineer with strong SQL and Python, experience with data warehouses (Snowflake) and OLTP (Postgres), ETL/ELT pipelines (Airflow, dbt/datamesh), BI semantic layers (Looker/Holistics/Omni), data modeling, AWS, versioning/CI/CD, data governance, privacy, and streaming (Kafka/Kinesis).</t>
  </si>
  <si>
    <t>SQL, Python, Snowflake, PostgreSQL, Airflow, dbt, datamesh, Looker, Holistics, Omni, AWS, CI/CD, Kafka, Kinesis</t>
  </si>
  <si>
    <t>Játékoskártya kampányelemző - CRM elemző (határozott időre) (Budapest, HU, 1015)</t>
  </si>
  <si>
    <t>Szerencsejáték</t>
  </si>
  <si>
    <t>Szerencsejáték: Hungary's state-owned national lottery and sports betting operator.</t>
  </si>
  <si>
    <t>1+ YOESupports CRM strategy for gaming customers; assists with CRM campaigns, forecasting, monitoring, and reporting; strong Excel, basic SQL, and Power BI skills; team player and precise.</t>
  </si>
  <si>
    <t>MS Excel, SQL, Power BI, SAS, Python, R</t>
  </si>
  <si>
    <t>Unisys</t>
  </si>
  <si>
    <t>UnisysNYSE: UIS: Provides cloud, cybersecurity, and digital workplace technology solutions.</t>
  </si>
  <si>
    <t>5+ YOE5+ years in software development or data engineering; Python/Scala/SQL/C#; data and software architecture; SQL/NoSQL databases; cloud deployments; English communication.</t>
  </si>
  <si>
    <t>Python, Scala, SQL, C#, Docker, Databricks, Cloud Platforms, APIs</t>
  </si>
  <si>
    <t>Senior Associate | Data, Analytics &amp; AI – Financial Advisory</t>
  </si>
  <si>
    <t>Deloitte</t>
  </si>
  <si>
    <t>Deloitte: Global provider of audit, consulting, tax, and advisory services.</t>
  </si>
  <si>
    <t>2+ YOE2-4 years relevant advisory experience; degree in Finance/Economics or quantitative field; fluent in Hungarian and English; strong Excel and finance knowledge; experience with analytics tools (PowerBI/Tableau/SQL/Python/Alteryx); CFA/ACCA or ongoing studies a plus.</t>
  </si>
  <si>
    <t>PowerBI, Tableau, SQL, Python, Alteryx, Excel</t>
  </si>
  <si>
    <t>EU I Analytics Engineer</t>
  </si>
  <si>
    <t>Budapest or Sofia or Bratislava</t>
  </si>
  <si>
    <t>Infinite Lambda</t>
  </si>
  <si>
    <t>Infinite Lambda: Builds enterprise-scale data platforms and cloud-native AI solutions.</t>
  </si>
  <si>
    <t>Extensive SQL, data modeling, ELT, and BI tooling experience in a distributed team.</t>
  </si>
  <si>
    <t>dbt, Snowflake, Fivetran, SQL, Git, Omni, Looker, Tableau, Qlik, Power BI</t>
  </si>
  <si>
    <t>Cape Town or Budapest or Berlin or London or Toronto</t>
  </si>
  <si>
    <t>Boam AI</t>
  </si>
  <si>
    <t>Boam AI: AI-powered data agents that clean and enrich CRM records</t>
  </si>
  <si>
    <t>1+ YOE1–3+ years in data analysis or analytics engineering; strong SQL; Python for analysis; ownership mindset; ability to work with messy datasets and automate pipelines.</t>
  </si>
  <si>
    <t>SQL, Python, ETL</t>
  </si>
  <si>
    <t>Staff Data Scientist</t>
  </si>
  <si>
    <t>Budapest or Coimbra</t>
  </si>
  <si>
    <t>Cision</t>
  </si>
  <si>
    <t>Cision: Media intelligence software and services for communications professionals.</t>
  </si>
  <si>
    <t>8+ YOE8+ years in software/ML engineering; 5+ years ML; advanced degree or equivalent; Python, ML libraries; cloud ML workflows; large datasets.</t>
  </si>
  <si>
    <t>Python, Pandas, NumPy, scikit-learn, TensorFlow, PyTorch, GCP, AWS, Kubernetes, Vertex AI, SageMaker, NVIDIA Triton, SQL</t>
  </si>
  <si>
    <t>Head of R&amp;D Data Elaboration (Europe, remote, IT)</t>
  </si>
  <si>
    <t>Chiesi</t>
  </si>
  <si>
    <t>Chiesi: Develops and manufactures medications for respiratory and rare diseases.</t>
  </si>
  <si>
    <t>5+ YOEPhD or Master’s in data science or related field; 5+ years leading data elaboration and computational modeling in pharma/biotech/medtech.</t>
  </si>
  <si>
    <t>Python, R, SQL, Tableau, Power BI, JavaScript</t>
  </si>
  <si>
    <t>Workday Prism Expert</t>
  </si>
  <si>
    <t>Madrid or Poland or Bangalore or Portugal or Hungary or United Kingdom or Italy or Czech Republic</t>
  </si>
  <si>
    <t>ABB</t>
  </si>
  <si>
    <t>ABBSIX Swiss Exchange: ABBN: Manufacturing electrification, robotics, and automation technologies for industrial customers.</t>
  </si>
  <si>
    <t>7+ YOE7+ years in HR tech/data analytics; 5+ years Workday reporting; Workday Prism Analytics expertise; Bachelor's in CS/IS/Data Analytics; Workday Certification preferred; Snowflake/SQL experience.</t>
  </si>
  <si>
    <t>Workday Prism Analytics, Snowflake, SQL, BIRT, Workday Reporting</t>
  </si>
  <si>
    <t>Marketing Analytics Manager</t>
  </si>
  <si>
    <t>United States or Europe</t>
  </si>
  <si>
    <t>Consensys</t>
  </si>
  <si>
    <t>Consensys: Develops blockchain software and infrastructure for the Ethereum ecosystem.</t>
  </si>
  <si>
    <t>1+ MgmtStrong SQL and Python; experience with dbt; marketing analytics, attribution, segmentation, and marketing mix modeling; ability to tell data-driven stories; cross-functional collaboration; remote-friendly; lead 1-2 reports.</t>
  </si>
  <si>
    <t>Google Analytics, Brandwatch, Segment, Mixpanel, dbt, Cube, Preset, HubSpot</t>
  </si>
  <si>
    <t>Data Quality Expert - Ataccama ONE</t>
  </si>
  <si>
    <t>Fusion Consulting</t>
  </si>
  <si>
    <t>Fusion Consulting: Strategic IT and business consulting for the life sciences industry.</t>
  </si>
  <si>
    <t>Hands-on with Ataccama ONE; strong data architecture knowledge; KPI monitoring and data quality rules; analytical, communicative, autonomous.</t>
  </si>
  <si>
    <t>Ataccama ONE, SQL, Power BI, Tableau</t>
  </si>
  <si>
    <t>Client Consulting Analyst</t>
  </si>
  <si>
    <t>Visa</t>
  </si>
  <si>
    <t>VisaNYSE: V: Operates a global network for digital payment transactions.</t>
  </si>
  <si>
    <t>3+ YOEEnglish and Hungarian required; experience in payments or digital payments preferred; strong analytical and communication skills; proficient in spreadsheets and presentations; interest in analytics tools.</t>
  </si>
  <si>
    <t>(Senior) Data Engineer - Freelance</t>
  </si>
  <si>
    <t>Netguru</t>
  </si>
  <si>
    <t>Netguru: Builds digital products and provides IT consultancy services.</t>
  </si>
  <si>
    <t>5+ YOE5+ years as a Data Engineer; regulated financial services experience; robust data pipelines with Spark/Hadoop; AWS; Scala and Python; DBT; BI tools; SQL; CI/CD; Docker/Kubernetes; English C1+.</t>
  </si>
  <si>
    <t>Apache Spark, Hadoop, AWS, DBT, Tableau, Python, Scala, SQL, Docker, Kubernetes, CI/CD, bash scripting</t>
  </si>
  <si>
    <t>Finance Systems Data Analyst</t>
  </si>
  <si>
    <t>Remote: Global HR platform for payroll, benefits, and compliance management.</t>
  </si>
  <si>
    <t>Experience with finance data as a systems or data analyst; strong SQL; experience with dbt; SAP to Snowflake data integration; proficiency in BI (Power BI, Tableau); understanding of accounting and financial reporting.</t>
  </si>
  <si>
    <t>SQL, dbt, Python, SAP S4 Hana, Power BI, Tableau, Snowflake, SAP FI/CO</t>
  </si>
  <si>
    <t>Senior Business Analyst - Insurance (Fully Remote, CET)</t>
  </si>
  <si>
    <t>CoverGo</t>
  </si>
  <si>
    <t>CoverGo: No-code insurance platform for product building and claims.</t>
  </si>
  <si>
    <t>5+ YOE5+ years as a Business Analyst; health insurance domain experience; Agile/Scrum; English proficiency; strong documentation and communication.</t>
  </si>
  <si>
    <t>Agile, Scrum</t>
  </si>
  <si>
    <t>Polish Search Relevance Annotator (Worldwide)</t>
  </si>
  <si>
    <t>Poland or Europe</t>
  </si>
  <si>
    <t>Lionbridge</t>
  </si>
  <si>
    <t>Lionbridge: Provides linguistic translation, localization, and data annotation services.</t>
  </si>
  <si>
    <t>Polish native-level and fluent English; detail-oriented with online shopping experience; reliable internet and a computer.</t>
  </si>
  <si>
    <t>3mo</t>
  </si>
  <si>
    <t>Product Analytics Team Lead</t>
  </si>
  <si>
    <t>JustMarkets</t>
  </si>
  <si>
    <t>JustMarkets: Multi-asset online trading platform for global financial markets.</t>
  </si>
  <si>
    <t>3+ YOE1+ Mgmt3+ years as Product Analyst; 1+ year leading analysts; strong data analysis and reporting; knowledge of core product metrics; statistical foundations; A/B testing; BI tools; English proficiency.</t>
  </si>
  <si>
    <t>GA4, BigQuery, Amplitude, Firebase, AppsFlyer, Mixpanel, Tableau, Looker, Power BI, Metabase</t>
  </si>
  <si>
    <t>IT - Business Intelligence Data Analyst</t>
  </si>
  <si>
    <t>Calderys</t>
  </si>
  <si>
    <t>Calderys: Global manufacturing delivering industrial solutions.</t>
  </si>
  <si>
    <t>3+ YOE3-5 years BI/Data Science experience; strong data visualization; Python and SQL; English fluent; Agile/Waterfall experience; cross-cultural work experience.</t>
  </si>
  <si>
    <t>Python, SQL, Tableau, Qlik, Power BI, Databricks, Snowflake, Fabric</t>
  </si>
  <si>
    <t>Commercial Analyst</t>
  </si>
  <si>
    <t>Celanese</t>
  </si>
  <si>
    <t>CelaneseNYSE: CE: Manufacturer of specialty chemicals and advanced engineering materials.</t>
  </si>
  <si>
    <t>3+ YOE3+ years in commercial/finance analysis; bachelor’s in Business/Finance/Data Analytics; strong Excel/Power BI; SAP; capable of KPI reporting, sales analysis, and pipeline insights.</t>
  </si>
  <si>
    <t>Excel, Power BI, SAP</t>
  </si>
  <si>
    <t>Material Master Data Coordination Team Lead EU (m/f)</t>
  </si>
  <si>
    <t>Budapest or Budapest</t>
  </si>
  <si>
    <t>Henkel</t>
  </si>
  <si>
    <t>HenkelFrankfurt Stock Exchange: HEN3: Produces adhesives, laundry detergents, and hair care products globally.</t>
  </si>
  <si>
    <t>5+ YOE5+ years in Material Master Data; strong leadership; English fluency; SAP ERP expert; Power BI; data visualization; cross-functional collaboration.</t>
  </si>
  <si>
    <t>SAP ERP, Power BI, MADAME, PIA, Excel</t>
  </si>
  <si>
    <t>(Senior) Data Scientist</t>
  </si>
  <si>
    <t>DATAPAO</t>
  </si>
  <si>
    <t>DATAPAO: Provides data engineering, AI implementation, and cloud migration services.</t>
  </si>
  <si>
    <t>Senior Data Scientist with experience in ML/DS consulting, client-facing delivery, and cloud platforms (Databricks, Azure/AWS).</t>
  </si>
  <si>
    <t>Python, Databricks, Azure, AWS, Spark, MLOps, Data Visualization</t>
  </si>
  <si>
    <t>Data Analyst (CRO) (10913)</t>
  </si>
  <si>
    <t>Eos Reply</t>
  </si>
  <si>
    <t>Eos ReplyBorsa Italiana: REY: Automates business processes through digital transformation and consulting services.</t>
  </si>
  <si>
    <t>3+ YOE3+ years in web analytics/CRO/experimentation; strong SQL; data visualization (Tableau or similar); experience with online/digital product environments; excellent communication and stakeholder management.</t>
  </si>
  <si>
    <t>SQL, BigQuery, Tableau</t>
  </si>
  <si>
    <t>Junior hitelkockázati modellező / Junior Credit Risk Modeler - Data scientist (Budapest, HU, 1131)</t>
  </si>
  <si>
    <t>OTP Bank</t>
  </si>
  <si>
    <t>OTP BankBudapest Stock Exchange: OTP: Provides universal banking and financial services across Eastern Europe.</t>
  </si>
  <si>
    <t>0+ YOEDegree in economics or science; interest in credit risk modeling; fluent English; Python and SQL; statistical knowledge; strong problem solving and communication.</t>
  </si>
  <si>
    <t>Python, SQL, Statistical Modeling, Data Analysis</t>
  </si>
  <si>
    <t>Chief Economist</t>
  </si>
  <si>
    <t>8+ YOEAdvanced economics degree; 8–10 years relevant experience; strong analytical, strategic/financial methods; macro/microeconomics knowledge; English proficiency; Excel and statistical/econometric software skills; modeling/programming experience preferred.</t>
  </si>
  <si>
    <t>Excel, Statistical software, Econometric software</t>
  </si>
  <si>
    <t>4mo</t>
  </si>
  <si>
    <t>Austria or Germany or Hungary or Ireland or Latvia or Luxembourg or Netherlands or Portugal or Poland or Slovakia or United Kingdom</t>
  </si>
  <si>
    <t>Prezi</t>
  </si>
  <si>
    <t>Prezi: Visual communication platform for presentations, videos, and infographics.</t>
  </si>
  <si>
    <t>5+ YOE5+ years in data analytics with large datasets; SQL and Python; dashboarding; English proficiency; degree in CS/Statistics/Applied Math/Physics or related fields.</t>
  </si>
  <si>
    <t>SQL, Python, Dashboards</t>
  </si>
  <si>
    <t>Commercial Excellence Analyst (63149)</t>
  </si>
  <si>
    <t>Beko Europe</t>
  </si>
  <si>
    <t>Beko Europe: Manufacturer of sustainable and innovative household appliance solutions.</t>
  </si>
  <si>
    <t>3+ YOE3-5 years in an analytical role, preferably in home appliances or large retail/FMCG; advanced Excel; Power BI; SAP; Python desirable; English proficiency required; data-driven problem solving.</t>
  </si>
  <si>
    <t>Excel, Power BI, Python, SAP</t>
  </si>
  <si>
    <t>(Senior) Research Data Analyst</t>
  </si>
  <si>
    <t>United Kingdom or Bulgaria or Croatia or Czech Republic or Denmark or Estonia or Finland or Hungary or Ireland or Italy or Latvia or Lithuania or Netherlands or Poland or Portugal or Romania or Spain or Sweden</t>
  </si>
  <si>
    <t>Kielo Research</t>
  </si>
  <si>
    <t>Kielo Research: Provides patient-centered scientific research and consulting for drug development.</t>
  </si>
  <si>
    <t>1+ YOEMaster’s in a relevant field with 3+ years or Doctoral with 1+ year; strong R and tidyverse; health outcomes analytics; English fluency.</t>
  </si>
  <si>
    <t>R, tidyverse, Microsoft Office</t>
  </si>
  <si>
    <t>5mo</t>
  </si>
  <si>
    <t>Senior SEO Specialist</t>
  </si>
  <si>
    <t>VELUX</t>
  </si>
  <si>
    <t>VELUX: Manufacturer of roof windows and skylights for buildings.</t>
  </si>
  <si>
    <t>5+ YOESenior SEO specialist with 5+ years of hands-on SEO, enterprise-scale experience, multilingual and AI-aware strategy, strong collaboration and leadership skills.</t>
  </si>
  <si>
    <t>GSC, Screaming Frog, Ahrefs, GA4, BigQuery, Looker, Power BI</t>
  </si>
  <si>
    <t>Data Solution Architect (Budapest, Central Hungary (Közép-Magyarország), HU)</t>
  </si>
  <si>
    <t>AGCO</t>
  </si>
  <si>
    <t>AGCONYSE: AGCO: Manufactures and distributes agricultural machinery and precision farming technology.</t>
  </si>
  <si>
    <t>Extensive Salesforce architecture, AWS cloud experience, data platforms, CDP/MDM, data governance, API design, CI/CD, and strong communication.</t>
  </si>
  <si>
    <t>Salesforce, AWS, Data Cloud, CDP, MDM, API design, CI/CD, DevOps, Data governance, ETL, Cloud architecture</t>
  </si>
  <si>
    <t>14h</t>
  </si>
  <si>
    <t>Departments - Data and Analytics, Budapest (Remote, Hybrid, Onsite), No keyword search, 1 week</t>
  </si>
  <si>
    <t>21h</t>
  </si>
  <si>
    <t>None</t>
  </si>
  <si>
    <t>Data Scientist 3</t>
  </si>
  <si>
    <t>OracleNYSE: ORCL: Sells cloud infrastructure and enterprise software solutions to businesses.</t>
  </si>
  <si>
    <t>0+ YOECareer Level - IC3; 0 to 2+ years experience; English proficiency; visa/work permit sponsorship not available.</t>
  </si>
  <si>
    <t>IntrumNasdaq Stockholm: INTRUM: Provides credit management and debt collection services.</t>
  </si>
  <si>
    <t>Parexel: Provides clinical research and drug development services for biopharmaceutical companies.</t>
  </si>
  <si>
    <t>Analyst - Customer Success Generalist</t>
  </si>
  <si>
    <t>NielsenIQNYSE: NIQ: Provides global retail measurement and consumer behavior intelligence.</t>
  </si>
  <si>
    <t>3+ YOE1-3 years of experience in data analysis with client-focused delivery; English fluency; strong presentation and communication skills.</t>
  </si>
  <si>
    <t>E.ONXetra: EOAN: Operates energy distribution networks and provides retail energy services.</t>
  </si>
  <si>
    <t>CitiNYSE: C: Global bank providing financial services to consumers and corporations.</t>
  </si>
  <si>
    <t>YouGovLondon Stock Exchange: YOU: Provides global public opinion data and consumer market research.</t>
  </si>
  <si>
    <t>YouGovLondon Stock Exchange: YOU: Provides global online market research and public opinion polling.</t>
  </si>
  <si>
    <t>Lead Product Data Analyst</t>
  </si>
  <si>
    <t>3+ YOE3+ years as a Data Analyst with end-to-end analysis ownership; strong SQL; product analytics experience; event analytics tools proficiency; BI tools experience; excellent communication.</t>
  </si>
  <si>
    <t>Mixpanel, GA4, Amplitude, SQL, Tableau, Looker, Python, R, GCP, BigQuery, Google Ads, Facebook Ads, Airflow, dbt, Git, Billing/Payments Analytics</t>
  </si>
  <si>
    <t>DanaherNYSE: DHR: Develops and sells instruments for medical diagnostics and biotechnology.</t>
  </si>
  <si>
    <t>Pagos: Platform for optimizing and monitoring payment processing performance.</t>
  </si>
  <si>
    <t>Wizz AirLondon Stock Exchange: WIZZ: Provides low-cost commercial passenger flights across Europe and Asia.</t>
  </si>
  <si>
    <t>Business Analyst &amp; Program Manager</t>
  </si>
  <si>
    <t>Prague or Lisbon or Bratislava or Budapest or Vilnius or Riga or Oeiras</t>
  </si>
  <si>
    <t>Cisco</t>
  </si>
  <si>
    <t>CiscoNASDAQ: CSCO: Provides networking, security, and digital infrastructure solutions globally.</t>
  </si>
  <si>
    <t>3+ YOEBachelor's in Business, Data Analytics, CS; 3+ years in business analytics or program management; advanced Excel and data viz; proven data analysis and cross-functional program experience.</t>
  </si>
  <si>
    <t>Excel, Tableau, Power BI</t>
  </si>
  <si>
    <t>Peridot Group</t>
  </si>
  <si>
    <t>Peridot Group: Global provider of supply chain finance and working capital solutions.</t>
  </si>
  <si>
    <t>Corporate &amp; Markets Specialist – Freelance AI Trainer Project</t>
  </si>
  <si>
    <t>North America or Europe or Asia or South America or Australia</t>
  </si>
  <si>
    <t>Invisible Technologies</t>
  </si>
  <si>
    <t>Invisible Technologies: Provides an AI platform for process automation and model training.</t>
  </si>
  <si>
    <t>0+ YOEFinance knowledge, capital markets expertise, financial statement analysis, valuation concepts, capital structure, M&amp;A, IPOs; ability to challenge LLMs on financial topics; strong analytical and communication skills.</t>
  </si>
  <si>
    <t>ComputacenterLondon Stock Exchange: CCC: Provides IT infrastructure services and technology solutions to businesses.</t>
  </si>
  <si>
    <t>e&amp; PPF Telecom Group</t>
  </si>
  <si>
    <t>e&amp; PPF Telecom Group: Telecommunications services and infrastructure in Central and Eastern Europe.</t>
  </si>
  <si>
    <t>Business Reporting Junior Developer (Budapest, HU, H-1138)</t>
  </si>
  <si>
    <t>0+ YOE0-2 years in controlling and reporting; fluent English; Excel/PowerPoint; BI tools; SAP BW Hana experience preferred</t>
  </si>
  <si>
    <t>Tableau, Power BI, SAP BW Hana, BO WebI, BO Analysis, BeX query designer, Microsoft Excel, VBA</t>
  </si>
  <si>
    <t>SonyNYSE: SONY: Manufactures consumer electronics, semiconductors, and digital entertainment content.</t>
  </si>
  <si>
    <t>Keyword "Data", Budapest (Remote, Hybrid, Onsite), No additional filter, 3 months</t>
  </si>
  <si>
    <t>15h</t>
  </si>
  <si>
    <t>Data Architect</t>
  </si>
  <si>
    <t>MET Group</t>
  </si>
  <si>
    <t>MET Group: Trades and distributes natural gas and electricity across Europe.</t>
  </si>
  <si>
    <t>0+ YOEStrong data modelling and architecture skills; experience with data governance, metadata management, and modern data stacks; fluent English; SQL knowledge.</t>
  </si>
  <si>
    <t>dbt, Snowflake, Databricks, Dataspot, Data catalog tools, SQL</t>
  </si>
  <si>
    <t>Senior Data Architect</t>
  </si>
  <si>
    <t>Senior data architect with cloud data platforms, ETL/ELT, SQL, data modeling, and leadership; proficient in Azure Synapse, Databricks, and data governance.</t>
  </si>
  <si>
    <t>Azure Synapse, Databricks, ADLS, ADF, Informatica, Talend, SSIS, SQL, Power BI, Tableau, Jira, Confluence, Sparx EA, Python, PowerShell, NoSQL (MongoDB, Cassandra)</t>
  </si>
  <si>
    <t>5+ YOEDesign, build, and optimize end-to-end ETL pipelines; integrate data across platforms like Snowflake and DB2; collaborate with stakeholders and ensure data quality and compliance.</t>
  </si>
  <si>
    <t>Snowflake, DB2, Python, Power BI, Qlik, Git</t>
  </si>
  <si>
    <t>Intuitech</t>
  </si>
  <si>
    <t>Intuitech: Builds custom software and artificial intelligence solutions for enterprises.</t>
  </si>
  <si>
    <t>3+ YOEExperienced data scientist with Python, ML, and DL experience; SQL, NLP, OCR, and dashboards; Hungarian and English fluency; cloud knowledge.</t>
  </si>
  <si>
    <t>Python, SQL, NLP, OCR, Deep Learning, LangChain, OpenAI API, Hugging Face, AWS, Azure, GCP</t>
  </si>
  <si>
    <t>TAKKTFrankfurt Stock Exchange: TTK: Omnichannel distributor of B2B business and warehouse equipment.</t>
  </si>
  <si>
    <t>UnisysNYSE: UIS: Provides digital workplace, cloud, and enterprise computing solutions.</t>
  </si>
  <si>
    <t>Senior Data Scientist</t>
  </si>
  <si>
    <t>5+ YOE5+ years of experience in data science, data engineering, and analytics; strong experience with ETL, data flows, and data processing; proficient in Python/SQL; English fluent.</t>
  </si>
  <si>
    <t>Snowflake, AWS Redshift, GCP BigQuery, Python, SQL, JavaScript, dbt</t>
  </si>
  <si>
    <t>Data Steward (Budapest, HU, 1013)</t>
  </si>
  <si>
    <t>One Hungary</t>
  </si>
  <si>
    <t>One HungaryBudapest Stock Exchange: 4IG: Telecommunications provider of mobile, internet, and digital television services.</t>
  </si>
  <si>
    <t>3+ YOEData governance, data catalog, business glossary, reports catalog, data quality, SQL, cloud data handling, English proficiency</t>
  </si>
  <si>
    <t>SQL, Google Cloud, Azure, Data Catalog, Business Glossary, Report Catalog</t>
  </si>
  <si>
    <t>Hiflylabs: Develops custom AI, data analytics, and digital software solutions.</t>
  </si>
  <si>
    <t>5+ YOE5+ years data engineering; Databricks/Snowflake/Azure/AWS experience; 2+ years of technical leadership; consultancy background; fluent in English and Hungarian.</t>
  </si>
  <si>
    <t>Databricks, Snowflake, Azure, AWS, Lakehouse</t>
  </si>
  <si>
    <t>Expert Developer – Data Analytics &amp; Data Engineering - REF5086I</t>
  </si>
  <si>
    <t>5+ YOE5+ years in data engineering/architecture; expert in Databricks, Delta Lake, Azure; strong SQL/Python/Spark; experience with data warehouses and Lakehouse concepts.</t>
  </si>
  <si>
    <t>Databricks, Delta Lake, Azure, Spark, SQL, Python</t>
  </si>
  <si>
    <t>Syngenta Group: Provides innovative seeds and crop protection products to farmers.</t>
  </si>
  <si>
    <t>bpLondon Stock Exchange: BP.: Global energy providing oil, gas, and low-carbon solutions.</t>
  </si>
  <si>
    <t>Data Officer (Budapest, HU, 1087)</t>
  </si>
  <si>
    <t>AllianzXETRA: ALV: Provides global insurance and asset management services.</t>
  </si>
  <si>
    <t>2+ YOEExperience in data governance and data management; SQL, Power BI; basic Python; strong English proficiency.</t>
  </si>
  <si>
    <t>SQL, PowerBI, Python</t>
  </si>
  <si>
    <t>Geospatial Data Scientist</t>
  </si>
  <si>
    <t>MSCINYSE: MSCI: Global provider of financial indices and investment analytics.</t>
  </si>
  <si>
    <t>5+ YOE5+ years in geospatial data science or climate analytics; strong Python/R; geospatial libraries; cloud experience.</t>
  </si>
  <si>
    <t>Python, R, Pandas, NumPy, SciPy, scikit-learn, tidyverse, GDAL, OGR, rasterio, geopandas, xarray, rioxarray, sf, terra, Dask, multiprocessing, GCP, AWS, Azure</t>
  </si>
  <si>
    <t>Billing Data Analyst</t>
  </si>
  <si>
    <t>Ukraine or Cyprus or Czech Republic or Estonia or Latvia or Lithuania or Hungary or Poland or Romania or Slovakia or Slovenia or Georgia or Kazakhstan or Moldova or Montenegro or Serbia or Turkey or South Africa or Brazil</t>
  </si>
  <si>
    <t>Bachelor’s degree in Data Science, Statistics, Computer Science, Economics, or related field; experience as a Data Analyst in fintech/subscription/billing; strong SQL; BI tools (Tableau/Looker); Python or R; statistics, forecasting, scenario modeling; experience with A/B testing; strong communication and problem-solving.</t>
  </si>
  <si>
    <t>SQL, Tableau, Looker, Python, R</t>
  </si>
  <si>
    <t>Data Engineering Lead</t>
  </si>
  <si>
    <t>Albania or Bosnia And Herzegovina or Bulgaria or Greece or Hungary or XK or Romania or Serbia or South Africa or Tunisia</t>
  </si>
  <si>
    <t>5CA</t>
  </si>
  <si>
    <t>5CA: Provides remote-first customer and player support services for global brands.</t>
  </si>
  <si>
    <t>7+ YOE2+ Mgmt7+ years data engineering; 2+ years leadership; SQL, Python; cloud (Azure/AWS/GCP); data governance; Databricks/Snowflake/Spark/Airflow/Fabric; English fluency.</t>
  </si>
  <si>
    <t>Azure, AWS, GCP, Databricks, Snowflake, Apache Spark, Airflow, Microsoft Fabric, SQL, Python</t>
  </si>
  <si>
    <t>Bosch: Manufacturer of automotive parts, power tools, and appliances.</t>
  </si>
  <si>
    <t>RWSLondon Stock Exchange: RWS: Provides technology-enabled language, content, and intellectual property services.</t>
  </si>
  <si>
    <t>Agile Data Scientist</t>
  </si>
  <si>
    <t>Qualysoft</t>
  </si>
  <si>
    <t>Qualysoft: Provides IT consulting and custom software development services.</t>
  </si>
  <si>
    <t>Develop and deploy ML models, manage end-to-end ML workflows, data preprocessing, visualization, cloud deployments; strong Python, SQL/NoSQL, ML algorithms.</t>
  </si>
  <si>
    <t>Python, Jupyter Notebook, SQL, NoSQL, Oracle, Impala, BigQuery, MongoDB, XGBoost, CatBoost, Power BI, Looker, AWS, Azure, GCP, Git, CI/CD, PySpark, Apache Airflow, Jira</t>
  </si>
  <si>
    <t>Coimbra or Budapest</t>
  </si>
  <si>
    <t>Cision: Provides PR software and media intelligence for communication professionals.</t>
  </si>
  <si>
    <t>8+ YOE8+ years in software or ML engineering; 5+ years in applied ML; advanced degree or equivalent experience; Python and ML libraries; cloud ML workflows; large-scale data handling; strong communication.</t>
  </si>
  <si>
    <t>Python, Pandas, NumPy, scikit-learn, TensorFlow, PyTorch, Kubernetes, Vertex AI, SageMaker, SQL, GCP, AWS</t>
  </si>
  <si>
    <t>Data Engineer (Törökbálint, HU, 2045)</t>
  </si>
  <si>
    <t>SQL, Python; data warehouses/lakes/lakehouse; ETL/ELT; orchestration; data quality and observability; Git; API integration; DevOps/SRE knowledge; strong communication; English and Hungarian proficiency.</t>
  </si>
  <si>
    <t>SQL, Python, Data Warehouses, ETL/ELT, Orchestration, Data Quality, Observability, Git, API, DevOps</t>
  </si>
  <si>
    <t>Clario: Provides software and services for collecting clinical trial data</t>
  </si>
  <si>
    <t>Finance Data Distribution - Vice President</t>
  </si>
  <si>
    <t>6+ YOEExperience in financial reporting, regulatory reporting, and data distribution; strong business analysis, project management, and data architecture knowledge.</t>
  </si>
  <si>
    <t>SQL, ETL/ELT, Data pipelines, APIs, Tableau, Qlik Sense, Cloud platforms</t>
  </si>
  <si>
    <t>Data Insight Analyst (HoReCa)</t>
  </si>
  <si>
    <t>3+ YOE1-3 years of data analysis experience; client-facing collaboration; strong analytical skills; fluent in English; knowledge of On Premise/HoReCa industry beneficial.</t>
  </si>
  <si>
    <t>data analysis tools, presentation software, business intelligence</t>
  </si>
  <si>
    <t>Data Governance Specialist (Budapest, HU)</t>
  </si>
  <si>
    <t>Experience with data governance, metadata standards, Collibra implementation, cross-functional program management, automation and AI-driven governance tools.</t>
  </si>
  <si>
    <t>Collibra, Automation tools, Microsoft Office</t>
  </si>
  <si>
    <t>Global Data Analyst (Budapest, HU, H-1138)</t>
  </si>
  <si>
    <t>GivaudanSIX Swiss Exchange: GIVN: Develops and manufactures flavors and fragrances for consumer products.</t>
  </si>
  <si>
    <t>2+ YOE Fluent English; 2-5 years in data analysis (supply chain preferred); advanced Excel and BI tools; programming in VBA/Python/R/SQL; stakeholder/change management experience.</t>
  </si>
  <si>
    <t>Tableau, Power BI, Webi, MS Excel, SQL, Python, R</t>
  </si>
  <si>
    <t>Senior Business Data Cloud Consultant, Data &amp; Analytics (Budapest, HU, 1031)</t>
  </si>
  <si>
    <t>SAPNYSE: SAP: Provides software for managing business operations and customer relations</t>
  </si>
  <si>
    <t>5+ YOE5+ years SAP analytics/data management; BW/4HANA, SAC, Datasphere experience; Master’s degree preferred; English required; German a plus; SAP Data Engineer cert; programming skills.</t>
  </si>
  <si>
    <t>SAP BW/4HANA, SAP Analytics Cloud, SAP Datasphere, SAP Data Service, SAP Data Intelligence, SAP Business Technology Platform</t>
  </si>
  <si>
    <t>Exadel: Global provider of software engineering and AI platform services.</t>
  </si>
  <si>
    <t>Data Governance gyakornok</t>
  </si>
  <si>
    <t>Part Time, Contract</t>
  </si>
  <si>
    <t>Pursuing higher education. Part-time (20 hours/week). Intermediate English. Proficient in MS Office. Customer-focused with structured approach and ability to work independently in a team.</t>
  </si>
  <si>
    <t>MS Office</t>
  </si>
  <si>
    <t>BlackRockNYSE: BLK: Provides global investment management and financial technology services.</t>
  </si>
  <si>
    <t>BilfingerXetra: GBF: Provides industrial services and engineering for the process industry.</t>
  </si>
  <si>
    <t>YouGovLondon Stock Exchange: YOU: Provides international online market research and consumer data analytics.</t>
  </si>
  <si>
    <t>YouGovLondon Stock Exchange: YOU: Provides online market research and consumer data analytics services.</t>
  </si>
  <si>
    <t>GE Vernova Master Data Management (MDM) Leader (m/f)</t>
  </si>
  <si>
    <t>Cambridge or Stamford or Atlanta or Budapest or Schenectady</t>
  </si>
  <si>
    <t>GE VernovaNYSE: GEV: Provides equipment and services for global electricity generation.</t>
  </si>
  <si>
    <t>Extensive operational leadership in data solutions; experience with SAP, Oracle, Hyperion; leads large-scale cross-functional MDM programs.</t>
  </si>
  <si>
    <t>SAP, Oracle, Hyperion, Master Data Management Software</t>
  </si>
  <si>
    <t>6+ YOE6+ years of relevant experience; English proficiency; strong problem solving and autonomous work; cross-team collaboration.</t>
  </si>
  <si>
    <t>Apache NiFi, Data Warehouse, Data Lake, ETL, BI, Data Transformation</t>
  </si>
  <si>
    <t>Data Engineer Gyakornok (AB-688997)</t>
  </si>
  <si>
    <t>Abesse</t>
  </si>
  <si>
    <t>Abesse: Provides custom software development and IT consulting for enterprises.</t>
  </si>
  <si>
    <t>Internship for data engineering with exposure to Databricks/Microsoft Fabric/Snowflake, Python/SQL, and data visualization; must be a current full-time IT student with at least 2 semesters remaining, min 24 hours/week, 1 day in office, English proficiency.</t>
  </si>
  <si>
    <t>Databricks, Microsoft Fabric, Snowflake, Python, SQL, Power BI</t>
  </si>
  <si>
    <t>Vendor Master Data Representative</t>
  </si>
  <si>
    <t>Thermo Fisher Scientific</t>
  </si>
  <si>
    <t>Thermo Fisher ScientificNYSE: TMO: Provides scientific instruments and reagents for research and diagnostics.</t>
  </si>
  <si>
    <t>1+ YOE1+ year vendor master data experience; proficient with MS Office; SAP experience; ability to handle high invoice volumes; strong communication and adaptability.</t>
  </si>
  <si>
    <t>SAP, Microsoft Navision, QAD, Excel, Outlook</t>
  </si>
  <si>
    <t>Warsaw or Budapest or Yerevan</t>
  </si>
  <si>
    <t>NVIDIA</t>
  </si>
  <si>
    <t>NVIDIANASDAQ: NVDA: Designs graphics processing units and artificial intelligence computing hardware.</t>
  </si>
  <si>
    <t>6+ YOEBachelor’s or Master’s degree in Computer Science or Engineering with 6+ years of experience; expert Java and Spring Boot; relational and NoSQL databases; distributed systems; English proficiency.</t>
  </si>
  <si>
    <t>Java, Spring Boot, Relational databases, NoSQL databases, Kubernetes, AWS, Python</t>
  </si>
  <si>
    <t>Data &amp; AI Architect Principal (Building 31, Budapest, Hungary)</t>
  </si>
  <si>
    <t>BT Group</t>
  </si>
  <si>
    <t>BT GroupLondon Stock Exchange: BT.A: Global provider of telecommunications and managed network services.</t>
  </si>
  <si>
    <t>Hands-on data/AI architecture with leadership in enterprise data platforms and MLOps; experience in multi-vendor cloud/data environments; strong coding in Python/SQL/Spark; data governance and privacy focus.</t>
  </si>
  <si>
    <t>Python, SQL, Spark, Data Warehouses, Data Lakes, MLOps, APIs, Cloud platforms</t>
  </si>
  <si>
    <t>Senior Engineer - International Data &amp; Analytics (Budapest, Pest, HU, 1112)</t>
  </si>
  <si>
    <t>Hofer</t>
  </si>
  <si>
    <t>Hofer: Operates a nationwide chain of discount grocery supermarkets in Austria.</t>
  </si>
  <si>
    <t>Proficient in data engineering, Python, Spark, Databricks, Azure Data Factory; SQL, UNIX shell scripting; cloud data platforms; strong data management and QA mindset.</t>
  </si>
  <si>
    <t>Python, Spark, Databricks, Azure Data Factory, Event Hub, SQL, UNIX, Shell Scripting</t>
  </si>
  <si>
    <t>Reporting &amp; Data Quality Consultant (Budapest, HU, 1051)</t>
  </si>
  <si>
    <t>3+ YOEExperience in regulatory reporting, data quality, and financial services; strong Excel and SQL skills; good communication and proactive work style.</t>
  </si>
  <si>
    <t>MS Excel, MS SQL</t>
  </si>
  <si>
    <t>Data Science Product Manager, 12-months FTC</t>
  </si>
  <si>
    <t>Multiple Commitments Available</t>
  </si>
  <si>
    <t>SkyShowtime</t>
  </si>
  <si>
    <t>SkyShowtime: Operates a subscription video-on-demand streaming service in Europe.</t>
  </si>
  <si>
    <t>Product management in data science; SQL; Python/R; BigQuery; Google Cloud; Tableau; Agile; strong communication; English fluency.</t>
  </si>
  <si>
    <t>SQL, Python, R, BigQuery, Google Cloud Platform, Tableau</t>
  </si>
  <si>
    <t>Deloitte: Provides professional audit, consulting, tax, and advisory services.</t>
  </si>
  <si>
    <t>Technical Expert for Metadata &amp; Business Data Architecture (D&amp;A)</t>
  </si>
  <si>
    <t>ZEISS</t>
  </si>
  <si>
    <t>ZEISS: A leading technology enterprise specializing in optics and optoelectronics.</t>
  </si>
  <si>
    <t>6+ YOE6+ years in software development and data engineering; strong Python/Java/Scala; cloud (Azure); data and metadata modeling; TOGAF/ArchiMate; experience with SAP/Salesforce/Adobe Marketo; REST APIs; GDPR security; English proficiency.</t>
  </si>
  <si>
    <t>Python, Java, Scala, Azure, Terraform, REST APIs, TOGAF, ArchiMate, SQL</t>
  </si>
  <si>
    <t>Számvitel adatmenedzsment szakértő (Budapest, HU)</t>
  </si>
  <si>
    <t>2+ YOE2+ years of relevant experience; degree in economics or IT; basic accounting knowledge; strong SQL; proficient in Excel; English at least basic; logical thinker; team player.</t>
  </si>
  <si>
    <t>SQL, SAS, SAP, Excel</t>
  </si>
  <si>
    <t>Finance Transformation Analyst (Data &amp; AI)</t>
  </si>
  <si>
    <t>London or Budapest</t>
  </si>
  <si>
    <t>QIMA</t>
  </si>
  <si>
    <t>QIMA: Global provider of product testing, inspections, and certification services.</t>
  </si>
  <si>
    <t>AI, automation, data workflows in finance; cross-functional collaboration; NetSuite and SQL/Python experience.</t>
  </si>
  <si>
    <t>Power Automate, Zapier, Make, NetSuite, SQL, Python, Airtable, Retool, OpenAI API, LangChain</t>
  </si>
  <si>
    <t>Senior Program Manager, Data Center</t>
  </si>
  <si>
    <t>San Fernando de Henares or Haarlem or Bucharest or Frankfurt or Slough or Gdańsk or Budapest</t>
  </si>
  <si>
    <t>8+ YOESeven to ten years of experience leading global programs and cross-functional teams in the data center sector; strong change management and stakeholder influencing skills. PMP/PgMP or PRINCE2 preferred.</t>
  </si>
  <si>
    <t>PMP, PgMP, PRINCE2</t>
  </si>
  <si>
    <t>Junior Business Insights and CRM Specialist (1 year fixed term)</t>
  </si>
  <si>
    <t>Sandoz</t>
  </si>
  <si>
    <t>SandozSIX Swiss Exchange: SDZ: Produces generic pharmaceuticals and biosimilar medical products.</t>
  </si>
  <si>
    <t>1+ YOEAt least 1 year in data and analytics; strong Excel; data quality, data consolidation; BI tools like QlikSense or Power BI a plus; Hungarian and English proficiency.</t>
  </si>
  <si>
    <t>Scout (SCOUT) CRM, SAP, Qlik Sense, Power BI, MS Excel</t>
  </si>
  <si>
    <t>Technical Presales Specialist – IBM Data &amp; AI Software</t>
  </si>
  <si>
    <t>TD SYNNEX</t>
  </si>
  <si>
    <t>TD SYNNEXNYSE: SNX: Distributes technology products and provides IT supply chain solutions.</t>
  </si>
  <si>
    <t>3+ YOE3–5+ years in software/cloud/data presales; native Hungarian; fluent English; knowledge of Data &amp; AI; strong presentation and stakeholder engagement; translate needs into technical solutions.</t>
  </si>
  <si>
    <t>IBM Data &amp; AI, Microsoft Azure, Amazon Web Services, Google Cloud, OpenAI</t>
  </si>
  <si>
    <t>BI Tableau Developer</t>
  </si>
  <si>
    <t>INNIO: Provides gas engines and digital solutions for energy generation.</t>
  </si>
  <si>
    <t>2+ YOEDevelop and maintain Tableau BI reports/dashboards; analyze data; ensure data quality; collaborate with stakeholders.</t>
  </si>
  <si>
    <t>Tableau, SQL, Excel, Databricks</t>
  </si>
  <si>
    <t>eRetail Media Development Manager</t>
  </si>
  <si>
    <t>Bucharest or Budapest</t>
  </si>
  <si>
    <t>Opella: Provides consumer healthcare products and over-the-counter medicines.</t>
  </si>
  <si>
    <t>3+ YOE3+ years in e-commerce/retail analytics; strong Excel and data visualization skills; English fluency; degree in Business, Economics, Statistics, or Data Science.</t>
  </si>
  <si>
    <t>UNHCR: Protects and assists refugees and displaced people worldwide.</t>
  </si>
  <si>
    <t>Backend Engineer - Machine Learning and Data Engineering</t>
  </si>
  <si>
    <t>Wise</t>
  </si>
  <si>
    <t>WiseLondon Stock Exchange: WISE: Provides low-cost international money transfer and multi-currency accounts.</t>
  </si>
  <si>
    <t>5+ YOE5+ years Java 11+; Python; batch/stream processing (Spark/Flink/Kafka); distributed microservices; UI contributions; data-driven decisions.</t>
  </si>
  <si>
    <t>Java, Python, Apache Spark, Flink, Kafka, Microservices, UI</t>
  </si>
  <si>
    <t>Quality Assurance Specialist (BI)</t>
  </si>
  <si>
    <t>INNIO: Manufactures gas engines and provides distributed power generation solutions.</t>
  </si>
  <si>
    <t>5+ YOE5+ years QA in data analytics/engineering; university degree in relevant fields; English fluency; Python; ETL tools and Tableau; data warehousing and Azure Unity Catalog; strong communication.</t>
  </si>
  <si>
    <t>Python, SQL, Tableau, ETL tools, Azure, Unity Catalog</t>
  </si>
  <si>
    <t>INNIO: Manufactures industrial gas engines and decentralized power solutions.</t>
  </si>
  <si>
    <t>Delivery HeroFrankfurt Stock Exchange: DHER: Provides a platform for local food and grocery delivery.</t>
  </si>
  <si>
    <t>SonyTokyo Stock Exchange: 6758: Manufactures electronics, produces music and movies, and develops video games.</t>
  </si>
  <si>
    <t>Wolt: On-demand platform for local food and grocery delivery.</t>
  </si>
  <si>
    <t>BI Analyst</t>
  </si>
  <si>
    <t>Cushman &amp; WakefieldNew York Stock Exchange: CWK: Provides commercial real estate brokerage and property management services.</t>
  </si>
  <si>
    <t>2+ YOEPower BI expert with 2-3 years in BI, data integration, dashboards; English fluent; bachelor’s in Engineering/Math/Analytics/Real Estate/Tech; proficient in MS Office; skilled in DAX, Python, SQL; detail oriented and collaborative.</t>
  </si>
  <si>
    <t>Power BI, DAX, Power Queries, Python, SQL, SharePoint, OneDrive</t>
  </si>
  <si>
    <t>Java Engineer - Data Platform Framework</t>
  </si>
  <si>
    <t>Hawk-Eye Innovations</t>
  </si>
  <si>
    <t>Hawk-Eye InnovationsNYSE: SONY: Provides optical tracking and officiating technology for professional sports.</t>
  </si>
  <si>
    <t>Strong Java (11+), AWS, observability tools, microservices, monitoring, fast-paced work.</t>
  </si>
  <si>
    <t>Java, AWS, Datadog, Prometheus, OpenTelemetry, Microservices, CI/CD, Terraform, Kafka, Flink, Spark</t>
  </si>
  <si>
    <t>Remote Technical Project Manager (Data Privacy &amp; AI)</t>
  </si>
  <si>
    <t>Belgrade or Tbilisi or Baku or Barcelona or Berlin or Bratislava or Budapest or Warsaw or Tallinn or Limassol or Lisbon or Podgorica or Yerevan or Buenos Aires or Santiago or Lima or Istanbul or Bogotá or Mexico City</t>
  </si>
  <si>
    <t>Nebius Group</t>
  </si>
  <si>
    <t>Nebius GroupNasdaq: NBIS: GPU cloud infrastructure for large-scale AI workloads.</t>
  </si>
  <si>
    <t>2+ YOE2+ years in Project Management or Software Implementation in a B2B SaaS env; strong client and internal team coordination; SaaS/cloud knowledge;Bachelor’s degree; ET hours; bonus for privacy regulatory knowledge</t>
  </si>
  <si>
    <t>SaaS, Cloud platforms, Project management tools</t>
  </si>
  <si>
    <t>OKX: Global platform for cryptocurrency trading and Web3 asset management.</t>
  </si>
  <si>
    <t>BrokerChooser: Online platform for discovering and comparing investment brokers worldwide.</t>
  </si>
  <si>
    <t>PwC: Provides professional audit, tax, and business consulting services.</t>
  </si>
  <si>
    <t>CoverGo: Modular no-code software platform for the global insurance industry.</t>
  </si>
  <si>
    <t>Kramp: Supplies technical spare parts and accessories to the agricultural industry.</t>
  </si>
  <si>
    <t>VisaNYSE: V: Provides a global network for secure digital payment processing.</t>
  </si>
  <si>
    <t>13h</t>
  </si>
  <si>
    <t>Customer Insights reporting munkatárs (határozott idő) (Budapest, HU)</t>
  </si>
  <si>
    <t>Lidl</t>
  </si>
  <si>
    <t>Lidl: International discount grocery chain offering high-quality products at low prices.</t>
  </si>
  <si>
    <t>1+ YOEAnalytical mindset with reporting experience; good communicator; intermediate English; 1-2 years in reporting/analysis; proficient Excel/PowerPoint; familiarity with Google Sheets and Looker advantageous.</t>
  </si>
  <si>
    <t>Excel, PowerPoint, Looker, Google Sheets, Google Slides, Word</t>
  </si>
  <si>
    <t>EY: Provides global audit, tax, consulting, and transaction advisory services.</t>
  </si>
  <si>
    <t>Front-end Engineer II - Data and Channel Management team</t>
  </si>
  <si>
    <t>3+ YOE3+ years frontend experience with Angular or React; strong UI focus; unit testing; good communication.</t>
  </si>
  <si>
    <t>Angular, React, Unit Testing</t>
  </si>
  <si>
    <t>Human Resources Analyst</t>
  </si>
  <si>
    <t>SEON</t>
  </si>
  <si>
    <t>SEON: SaaS platform for fraud prevention and financial compliance.</t>
  </si>
  <si>
    <t>3+ YOE3–5 years in analytical or data-focused HR roles; Bachelor's in Data Analytics, Business, HR, or quantitative field; advanced Excel/Sheets; HRIS experience (HiBob, Workday, BambooHR); strong data accuracy; ability to translate data for non-technical stakeholders.</t>
  </si>
  <si>
    <t>HiBob, Workday, BambooHR, Ashby, Juno Journey, Pave, Coda, Excel, Google Sheets, Google Slides</t>
  </si>
  <si>
    <t>Senior Computational Biologist</t>
  </si>
  <si>
    <t>Turbine AI</t>
  </si>
  <si>
    <t>Turbine AI: Simulates cancer cell biology to predict drug responses.</t>
  </si>
  <si>
    <t>3+ YOEExperience in computational biology, data processing of omics data, ML basics, Python (or other strong language), ability to work independently and in a team.</t>
  </si>
  <si>
    <t>Python, R, PyTorch, TensorFlow, scikit-learn</t>
  </si>
  <si>
    <t>Folyamatszervező projektmenedzser (Budapest, HU, 1117)</t>
  </si>
  <si>
    <t>ALTEO</t>
  </si>
  <si>
    <t>ALTEOBudapest Stock Exchange: ALTEO: Generates renewable energy and provides integrated energy services.</t>
  </si>
  <si>
    <t>Experience in process organization, accounting, tax data, data automation, and programming (Python). Knowledge of ERP systems (SAP/HANA/Navision/BC).</t>
  </si>
  <si>
    <t>SAP, HANA, Navision, BC, Python</t>
  </si>
  <si>
    <t>Analytics Business Developer</t>
  </si>
  <si>
    <t>scandiweb</t>
  </si>
  <si>
    <t>scandiweb: Provides enterprise eCommerce development and digital strategy services.</t>
  </si>
  <si>
    <t>2+ YOE2-5+ years in senior data strategy/analytics or strategic business development; strong commercial intellect; knowledge of modern data stack; strong communication; self-starter.</t>
  </si>
  <si>
    <t>Google Analytics, GTM, CDP, BigQuery, Snowflake, Tableau</t>
  </si>
  <si>
    <t>Syneos Health Careers</t>
  </si>
  <si>
    <t>Morrisville or Madhapur or Buenos Aires or Belgrade or Gurgaon or London or Pune or Beijing or Toronto or Warsaw or Madrid or Tlalnepantla or Bucharest or Budapest or Barcelona or Amsterdam or Munich or Dublin or Brussels or Las Condes or Sofia or Taipei City or Bogota or Lisboa or Milano or Seoul or Vienna or New York or Paris or Shanghai or Tokyo or Riyadh or Sydney or Kyiv or Serbia or USA-NC-Remote</t>
  </si>
  <si>
    <t>Syneos Health: Provides integrated clinical development and commercialization services for biopharmaceuticals.</t>
  </si>
  <si>
    <t>Experience in clinical research, data and analytics, or project management preferred.</t>
  </si>
  <si>
    <t>Strategic Procurement Specialist</t>
  </si>
  <si>
    <t>Siemens Healthineers</t>
  </si>
  <si>
    <t>Siemens HealthineersFrankfurt Stock Exchange: SHL: Provides medical imaging and laboratory diagnostic equipment and services.</t>
  </si>
  <si>
    <t>5+ YOE5+ years in procurement, supply chain, data analytics; associate degree; SAP and Microsoft Office; reporting with QlikSense/Power BI; strong data accuracy and cross-functional collaboration.</t>
  </si>
  <si>
    <t>SAP, Excel, PowerPoint, QlikSense, Power BI</t>
  </si>
  <si>
    <t>Rust Engineer - Platform Trading</t>
  </si>
  <si>
    <t>Brussels or Porto or Milan or London or Zurich or Zug or Zagreb or Warsaw or Vienna or Victoria or Tallinn or Sofia or Seychelles or Rotterdam or Rome or Paris or Manama or Madrid or Luxembourg or London or Lisbon or Johannesburg or Istanbul or Geneva or Frankfurt or Dublin or Abu Dhabi or Amsterdam or Antwerp or Athens or Berlin or Budapest or Cape Town or Copenhagen or Dubai or Eindhoven</t>
  </si>
  <si>
    <t>Keyrock</t>
  </si>
  <si>
    <t>Keyrock: Provides liquidity and market-making services for digital asset markets.</t>
  </si>
  <si>
    <t>Experience building data-intensive, high-performance trading platforms; strong Rust (or C++), Python, TypeScript; cloud-native AWS; CI/CD; GitOps; data engineering; security/compliance.</t>
  </si>
  <si>
    <t>Rust, Python, TypeScript, AWS, Kubernetes, Terraform, GitOps, CI/CD, SQL, NoSQL</t>
  </si>
  <si>
    <t>Financial Analyst</t>
  </si>
  <si>
    <t>Siemens HealthineersXetra: SHL: Develops and manufactures medical imaging and diagnostic systems.</t>
  </si>
  <si>
    <t>Strong analytical skills, FP&amp;A experience, data-driven, collaborative and adaptable.</t>
  </si>
  <si>
    <t>Excel, BI tools, ERP systems</t>
  </si>
  <si>
    <t>Project Manager - Workforce Supplier Relations</t>
  </si>
  <si>
    <t>Rohlik</t>
  </si>
  <si>
    <t>Rohlik: Online supermarket providing fresh grocery delivery in European cities.</t>
  </si>
  <si>
    <t>HVH experience, supplier management, data-driven optimization, leadership skills.</t>
  </si>
  <si>
    <t>Young Talent Accelerator Program</t>
  </si>
  <si>
    <t>Veszprem, Budapest, Hungary</t>
  </si>
  <si>
    <t>Valeo</t>
  </si>
  <si>
    <t>ValeoEuronext Paris: FR: Designs and manufactures innovative components for the automotive industry.</t>
  </si>
  <si>
    <t>0+ YOEMaster degree in electronics or mechatronics; up to 2 years after graduation; strong English communication; international experience preferred.</t>
  </si>
  <si>
    <t>Test equipment, Data analysis, MES</t>
  </si>
  <si>
    <t>19h</t>
  </si>
  <si>
    <t>Cost Manager</t>
  </si>
  <si>
    <t>CBRE</t>
  </si>
  <si>
    <t>CBRENYSE: CBRE: Provides global commercial real estate and investment management services.</t>
  </si>
  <si>
    <t>Degree in Civil Engineering or Architecture; experience in cost estimation, cost control, quantity surveying, or technical preparation; advanced Excel; knowledge of construction market prices.</t>
  </si>
  <si>
    <t>Excel, Data analysis</t>
  </si>
  <si>
    <t>Cloud &amp; Platform Database Administrator</t>
  </si>
  <si>
    <t>VML</t>
  </si>
  <si>
    <t>VML: Global creative agency providing advertising and customer experience services.</t>
  </si>
  <si>
    <t>Manage cloud and platform databases, ensure security and reliability, and collaborate with data and dev teams.</t>
  </si>
  <si>
    <t>SQL, NoSQL, Cloud platforms, Database administration, Automation</t>
  </si>
  <si>
    <t>Facility Management Expert</t>
  </si>
  <si>
    <t>ING</t>
  </si>
  <si>
    <t>INGEuronext Amsterdam: INGA: Provides retail, wholesale, and investment banking services globally.</t>
  </si>
  <si>
    <t>5+ YOEBachelor/college degree in engineering; minimum 5 years facilities management experience; project management and strong communication; proactive, autonomous problem solver; intermediate English; proficient MS Office (Excel, reports); experience in facilities and personnel security is a plus</t>
  </si>
  <si>
    <t>MS Office, Excel, PowerPoint, Data analysis</t>
  </si>
  <si>
    <t>German-speaking HR Associate – Sick Leave Administration</t>
  </si>
  <si>
    <t>Ford</t>
  </si>
  <si>
    <t>FordNYSE: F: Designs, manufactures, and services a global fleet of vehicles.</t>
  </si>
  <si>
    <t>0+ YOEBachelor’s degree preferred; 0-3 years in customer service, data processing, or HR.</t>
  </si>
  <si>
    <t>Excel, SAP, Outlook</t>
  </si>
  <si>
    <t>Customer Service Field (Service) Specialist (63390)</t>
  </si>
  <si>
    <t>Register BEKO registrations, manage spare parts, support customers and technicians, verify data, and report.</t>
  </si>
  <si>
    <t>SAP, MS Office, Excel</t>
  </si>
  <si>
    <t>Innovation &amp; Business Excellence Director CE</t>
  </si>
  <si>
    <t>Prague or Budapest or Bratislava</t>
  </si>
  <si>
    <t>AstraZeneca</t>
  </si>
  <si>
    <t>AstraZenecaLondon Stock Exchange: AZN: Discovers and develops prescription medicines for major diseases.</t>
  </si>
  <si>
    <t>Executive leader driving commercial excellence and digital transformation with data-driven strategy and cross-functional collaboration.</t>
  </si>
  <si>
    <t>AI, Machine Learning, Predictive Analytics, Data Analytics</t>
  </si>
  <si>
    <t>Marketing Automation- Assistant Manager – English – Hybrid Budapest</t>
  </si>
  <si>
    <t>Genpact</t>
  </si>
  <si>
    <t>GenpactNYSE: G: Provides technology services and business process outsourcing globally.</t>
  </si>
  <si>
    <t>4+ YOEAdobe Marketo Engage admin, marketing automation operations, Salesforce integrations, data governance, and audit readiness.</t>
  </si>
  <si>
    <t>Adobe Marketo Engage, Salesforce CRM, CDP, Adobe Experience Platform</t>
  </si>
  <si>
    <t>Sales Representative</t>
  </si>
  <si>
    <t>Eli Lilly and Company</t>
  </si>
  <si>
    <t>Eli Lilly and CompanyNYSE: LLY: Develops and manufactures pharmaceutical medicines for global healthcare markets.</t>
  </si>
  <si>
    <t>Healthcare education; strong communication; ethical sales approach; data analysis; team collaboration; driver license.</t>
  </si>
  <si>
    <t>Tableau</t>
  </si>
  <si>
    <t>Szállítmányozási adminisztrátor</t>
  </si>
  <si>
    <t>UPS</t>
  </si>
  <si>
    <t>UPSNYSE: UPS: Global package delivery and supply chain management.</t>
  </si>
  <si>
    <t>Performs general office duties including data handling, planning, auditing, inventory, customer and operations support.</t>
  </si>
  <si>
    <t>Product Cost Calculator (Budapest, HU, 1037)</t>
  </si>
  <si>
    <t>Festo</t>
  </si>
  <si>
    <t>Festo: Provides pneumatic and electrical automation technology for industrial production.</t>
  </si>
  <si>
    <t>3+ YOEExperience in cost calculation and data analysis; knowledge of SAP and Excel; English proficiency; strong communication and analytical skills.</t>
  </si>
  <si>
    <t>MS Office, Excel, SAP</t>
  </si>
  <si>
    <t>FINNISH speaking CCR_Candidate Pool</t>
  </si>
  <si>
    <t>doTERRA</t>
  </si>
  <si>
    <t>doTERRA: Produces and sells essential oils and wellness products.</t>
  </si>
  <si>
    <t>0+ YOECustomer service coordination and order processing; data handling; 0-2 years experience; Finnish language proficiency.</t>
  </si>
  <si>
    <t>Product Designer</t>
  </si>
  <si>
    <t>United Kingdom or Portugal or Ireland or Romania or Hungary or South Africa or Poland</t>
  </si>
  <si>
    <t>Primer</t>
  </si>
  <si>
    <t>Primer: Unified payment infrastructure for global payment orchestration and commerce.</t>
  </si>
  <si>
    <t>Experience owning and driving product design solutions; strong collaboration; data-informed mindset; design system contribution.</t>
  </si>
  <si>
    <t>Elasticsearch - Senior Java Engineer - Distributed Systems</t>
  </si>
  <si>
    <t>United States or Greece or Hungary or Ireland or Norway or Poland or Portugal or Romania or Spain or Sweden or North America or Europe</t>
  </si>
  <si>
    <t>Elastic</t>
  </si>
  <si>
    <t>ElasticNYSE: ESTC: Provides a platform for enterprise search, observability, and cybersecurity.</t>
  </si>
  <si>
    <t>Strong background in distributed systems and Java; experience with concurrency, data structures, algorithms; ownership of end-to-end projects.</t>
  </si>
  <si>
    <t>Java, Netty, Lucene, JDK</t>
  </si>
  <si>
    <t>Solution Architect</t>
  </si>
  <si>
    <t>Aliz</t>
  </si>
  <si>
    <t>Aliz: Provides data analytics and infrastructure on Google Cloud.</t>
  </si>
  <si>
    <t>7+ YOELead technical discovery, design cloud-native solutions, and shape proposals for complex cloud, data, and AI engagements.</t>
  </si>
  <si>
    <t>Google Cloud Platform, Data platforms, Distributed systems</t>
  </si>
  <si>
    <t>Project Network Scheduler (57143)</t>
  </si>
  <si>
    <t>Eaton</t>
  </si>
  <si>
    <t>EatonNYSE: ETN: Provides power management solutions and electrical products globally.</t>
  </si>
  <si>
    <t>5+ YOEBachelor's degree; 5+ years in supply chain; CPIM a plus; strong collaboration and data-driven decision making.</t>
  </si>
  <si>
    <t>MRP, ERP, SIOP</t>
  </si>
  <si>
    <t>German Payroll Administrator (HU)</t>
  </si>
  <si>
    <t>Vistra</t>
  </si>
  <si>
    <t>Vistra: Provides global corporate, fund, and trust administration services.</t>
  </si>
  <si>
    <t>No prior payroll experience required; strong administration, communication, and data handling skills; able to meet SLAs and deadlines.</t>
  </si>
  <si>
    <t>Digital Project Responsible</t>
  </si>
  <si>
    <t>EUROAPI</t>
  </si>
  <si>
    <t>EUROAPIEuronext Paris: EAPI: Manufacturer of active pharmaceutical ingredients and specialty chemicals.</t>
  </si>
  <si>
    <t>2+ YOETwo+ years in project management in manufacturing; knowledge of data systems; English proficiency; familiarity with Industry 4.0 and Lean transformations.</t>
  </si>
  <si>
    <t>Office, Databases, ERP, Data Analytics</t>
  </si>
  <si>
    <t>20h</t>
  </si>
  <si>
    <t>MES fejlesztő (Budapest, HU, 1238)</t>
  </si>
  <si>
    <t>Knorr-Bremse</t>
  </si>
  <si>
    <t>Knorr-BremseFrankfurt Stock Exchange: KBX: Manufactures braking systems for rail and commercial vehicles.</t>
  </si>
  <si>
    <t>Develop MES applications on Tulip platform; integrate with ERP/PLM interfaces; work with data processing, dashboards, and KPI analysis.</t>
  </si>
  <si>
    <t>Country Manager - Hungary</t>
  </si>
  <si>
    <t>Ventures Lab:</t>
  </si>
  <si>
    <t>Ventures Lab: Online gaming platform provider</t>
  </si>
  <si>
    <t>Experience as a Country Manager in iGaming/Online Casino; strong market knowledge; data analysis; leadership; remote team management.</t>
  </si>
  <si>
    <t>People Process Specialist</t>
  </si>
  <si>
    <t>Nilfisk</t>
  </si>
  <si>
    <t>NilfiskNasdaq Copenhagen: NLFSK: Develops and manufactures professional and consumer cleaning equipment.</t>
  </si>
  <si>
    <t>Execute and improve HR processes; manage data quality; advise managers; mainly Hungary/EMEA;Workday/ServiceNow experience.</t>
  </si>
  <si>
    <t>Workday, ServiceNow</t>
  </si>
  <si>
    <t>Quality System Specialist (PMPF Analyst) - fixed-term</t>
  </si>
  <si>
    <t>Bio-Rad</t>
  </si>
  <si>
    <t>Bio-RadNYSE: BIO: Manufactures products for life science research and clinical diagnostics.</t>
  </si>
  <si>
    <t>1+ YOEBS in science; 1 year lab experience; IVDR familiarity; English proficiency; strong data analysis and reporting skills.</t>
  </si>
  <si>
    <t>Microsoft Word, Microsoft Excel, Microsoft PowerPoint, OneDrive, SharePoint, Microsoft Teams</t>
  </si>
  <si>
    <t>HR Partner, Compensation and Benefits (Senior Analyst)</t>
  </si>
  <si>
    <t>Flowserve</t>
  </si>
  <si>
    <t>FlowserveNYSE: FLS: Manufactures and services industrial fluid-handling and control equipment.</t>
  </si>
  <si>
    <t>Lead regional compensation and benefits for EMEA; design, implement, benchmark programs; manage vendors; analyze data; ensure compliance.</t>
  </si>
  <si>
    <t>Microsoft Excel, Microsoft Word, Microsoft PowerPoint, Microsoft Outlook</t>
  </si>
  <si>
    <t>Minőségügyi Technikus</t>
  </si>
  <si>
    <t>Trigo</t>
  </si>
  <si>
    <t>Trigo: Providing industrial quality management and inspection services for manufacturers.</t>
  </si>
  <si>
    <t>0+ YOETechnical background or experience in quality/manufacturing; precise, analytical; data-driven; proactive problem solver; good communicator and collaborator.</t>
  </si>
  <si>
    <t>Quantitative Developer</t>
  </si>
  <si>
    <t>WorldQuant</t>
  </si>
  <si>
    <t>WorldQuant: Develops systematic quantitative investment strategies using mathematical models.</t>
  </si>
  <si>
    <t>Strong CS fundamentals; proficient in Python or C++; Linux experience; distributed/data-intensive systems; problem solving; good communication.</t>
  </si>
  <si>
    <t>Python, C++, Linux, Distributed systems</t>
  </si>
  <si>
    <t>UX Designer</t>
  </si>
  <si>
    <t>Certara</t>
  </si>
  <si>
    <t>CertaraNASDAQ: CERT: Provides biosimulation software and technology services for drug development.</t>
  </si>
  <si>
    <t>Customer-focused UX design for data-heavy, B2B tools; collaboration with researchers and developers; fluent in English; experience with design systems.</t>
  </si>
  <si>
    <t>Figma, Design System (Origin), Prototyping tools</t>
  </si>
  <si>
    <t>B2C Marketing Communications Manager</t>
  </si>
  <si>
    <t>BSc in Marketing or Communications; multinational experience; proven campaign and project leadership; data-driven, with strong communication and cross-functional collaboration.</t>
  </si>
  <si>
    <t>Lead Process Expert (Lean Six Sigma, Black Belt) (Budapest, PE, HU, 1062)</t>
  </si>
  <si>
    <t>Grundfos: Manufacturer of high-efficiency pumps and sustainable water solutions.</t>
  </si>
  <si>
    <t>Lean Six Sigma Black Belt with BPM implementation experience; bachelor’s degree; strong data analysis and change management skills.</t>
  </si>
  <si>
    <t>Statistical analysis, Process mapping, Lean Six Sigma</t>
  </si>
  <si>
    <t>VISUAL MERCHANDISER</t>
  </si>
  <si>
    <t>Mango</t>
  </si>
  <si>
    <t>Mango: Sells fashion clothing and accessories through physical and online stores.</t>
  </si>
  <si>
    <t>0+ YOECreative, organized, and data-driven merchandising skills; fashion merchandising experience preferred; fluent in English; ability to prioritize and adapt quickly.</t>
  </si>
  <si>
    <t>Számlakezelési adminisztrátor (bejövő számlázás) | Domestic Invoicing Administrator -Budapest Office (Budapest, HU, 1134)</t>
  </si>
  <si>
    <t>Bunge</t>
  </si>
  <si>
    <t>BungeNYSE: BG: Processes and distributes agricultural commodities and food ingredients globally.</t>
  </si>
  <si>
    <t>Invoicing data entry with SAP/VIM; Excel skills; good communication; Hungarian language; basic English; high attention to detail.</t>
  </si>
  <si>
    <t>SAP, Excel, VIM, World</t>
  </si>
  <si>
    <t>Head of product</t>
  </si>
  <si>
    <t>SabeeApp</t>
  </si>
  <si>
    <t>SabeeApp: Cloud-based management platform for independent hotels and apartments.</t>
  </si>
  <si>
    <t>Leads a product team for a B2B SaaS; fluent in Hungarian and English; agile, data-driven, collaborative; hands-on with product discovery and execution.</t>
  </si>
  <si>
    <t>CRO Specialist</t>
  </si>
  <si>
    <t>Vilnius or Albania or Bosnia And Herzegovina or Croatia or Czech Republic or Cyprus or Czech Republic or Estonia or Greece or XK or Latvia or Malta or Moldova or Montenegro or Netherlands or Macedonia or Portugal or Slovenia or Serbia or Bulgaria or Hungary or Netherlands or United Kingdom or South Africa or Andorra or Albania or Bosnia And Herzegovina or Czech Republic or Estonia or Georgia or Greece or Moldova or XK or Poland or Macedonia or Portugal or Slovenia or Serbia or Cyprus or Bulgaria or Hungary or Netherlands or United Kingdom or South Africa</t>
  </si>
  <si>
    <t>Foxelli Group</t>
  </si>
  <si>
    <t>Foxelli Group: Manages a portfolio of direct-to-consumer e-commerce brands.</t>
  </si>
  <si>
    <t>Proven experience running A/B tests in e-commerce; strong CRO metrics knowledge; data-driven; cross-functional collaboration.</t>
  </si>
  <si>
    <t>Senior Software Engineer (Python)</t>
  </si>
  <si>
    <t>Diligent</t>
  </si>
  <si>
    <t>Diligent: Provides software for governance, risk, and compliance management.</t>
  </si>
  <si>
    <t>3+ YOE3+ years in backend development with Python; building data pipelines and services; experience with AWS, relational DBs, and modern software practices.</t>
  </si>
  <si>
    <t>Python, AWS, Snowflake, SQL, PostgreSQL, DynamoDB, Node.js, React, Typescript, AWS CDK</t>
  </si>
  <si>
    <t>Space Management Specialist</t>
  </si>
  <si>
    <t>Kyndryl</t>
  </si>
  <si>
    <t>KyndrylNYSE: KD: Provides managed IT infrastructure and technology consulting services.</t>
  </si>
  <si>
    <t>3+ YOE3+ years in space planning or facilities operations; experience with space management tools and AutoCAD; strong data governance and reporting skills.</t>
  </si>
  <si>
    <t>AutoCAD, Eptura, Serraview, Archibus, Space Management tool</t>
  </si>
  <si>
    <t>Eli Lilly</t>
  </si>
  <si>
    <t>Eli LillyNYSE: LLY: Develops and manufactures prescription medicines and healthcare solutions globally.</t>
  </si>
  <si>
    <t>Drive field sales in Budapest area; educate healthcare professionals on Lilly products; manage territory, analyze data, plan, coordinate with marketing.</t>
  </si>
  <si>
    <t>Vice President, Operations</t>
  </si>
  <si>
    <t>United States or United Kingdom or Portugal or Ireland or Austria or Czech Republic or Denmark or Hungary or Italy or Netherlands or Norway or Poland or Sweden or Canada or Ecuador or Peru or Argentina or Brazil or Chile or Colombia or Cape Verde</t>
  </si>
  <si>
    <t>The Humane League</t>
  </si>
  <si>
    <t>The Humane League: Advocates for animal protection within the global food system.</t>
  </si>
  <si>
    <t>Extensive progressive operations leadership with globally distributed workforce; leadership of People, Finance, IT, and Administration; strategic, data-driven, cost-conscious operations.</t>
  </si>
  <si>
    <t>Customer Service, Order Management Associate- French speaker</t>
  </si>
  <si>
    <t>Fluent in English and French; college/university degree; SAP knowledge is an advantage; strong customer service, problem solving, and data accuracy skills.</t>
  </si>
  <si>
    <t>SAP, Microsoft Excel</t>
  </si>
  <si>
    <t>Fleet and Mobility Operations Manager (Budapest, HU, 1095)</t>
  </si>
  <si>
    <t>Fressnapf</t>
  </si>
  <si>
    <t>Fressnapf: European retailer of pet food and accessories.</t>
  </si>
  <si>
    <t>Experience in fleet management, mobility operations, and contract management; knowledge of regulations; data analysis; strong communication; English required; German helpful.</t>
  </si>
  <si>
    <t>Fleet management software</t>
  </si>
  <si>
    <t>Compensation Senior Specialist - EMEA</t>
  </si>
  <si>
    <t>Budapest or Timisoara or Lodz or Tczew</t>
  </si>
  <si>
    <t>Flex</t>
  </si>
  <si>
    <t>FlexNasdaq: FLEX: Provides design, manufacturing, and supply chain solutions globally.</t>
  </si>
  <si>
    <t>5+ YOE5+ years in compensation or HR analytics in an international environment; strong data analysis; advanced Excel; benchmarking and pay structures; fluent English.</t>
  </si>
  <si>
    <t>Excel, Pivot tables, Power Query, Lookups</t>
  </si>
  <si>
    <t>3D printing - Service Engineer</t>
  </si>
  <si>
    <t>Formlabs</t>
  </si>
  <si>
    <t>Formlabs: Designs and manufactures professional-grade 3D printing systems.</t>
  </si>
  <si>
    <t>2+ YOEBachelor's degree in engineering; 2-5 years technical experience; strong cross-team communication; SQL/data analytics familiarity; Linux knowledge.</t>
  </si>
  <si>
    <t>SQL, Google DataStudio, Linux</t>
  </si>
  <si>
    <t>Senior Associate Consultant - Budapest, Hungary</t>
  </si>
  <si>
    <t>Infosys</t>
  </si>
  <si>
    <t>InfosysNYSE: INFY: Provides IT consulting, software development, and business outsourcing services.</t>
  </si>
  <si>
    <t>3+ YOEPower BI and Excel data analysis, 5+ years leading complex projects, strong infrastructure and networking knowledge, PMI-Agile certification preferred.</t>
  </si>
  <si>
    <t>Power BI, Excel, LAN, WAN, WLAN, VPN, SAN, GPO, Azure, AWS, PMI-Agile</t>
  </si>
  <si>
    <t>Regional C&amp;SP Strategic Account Program Manager</t>
  </si>
  <si>
    <t>Spain or United Kingdom or Ireland or Sweden or France or Budapest or Denmark</t>
  </si>
  <si>
    <t>Schneider Electric</t>
  </si>
  <si>
    <t>Schneider ElectricEuronext Paris: SU: Provides energy management and industrial automation solutions for sustainability.</t>
  </si>
  <si>
    <t>8+ YOESenior strategic program leader with global coordination and governance experience (minimum 8 years). Strong stakeholder management and data-driven decision making.</t>
  </si>
  <si>
    <t>Smartsheet, Microsoft Office, Data dashboards</t>
  </si>
  <si>
    <t>Engineering Services Manager; Incident Management</t>
  </si>
  <si>
    <t>Genesys</t>
  </si>
  <si>
    <t>Genesys: Provides AI-powered cloud software for customer experience orchestration.</t>
  </si>
  <si>
    <t>Incident management experience in platform operations or enterprise support; strong communication; data analysis; on-call experience; DevOps/SRE familiarity; compliance awareness.</t>
  </si>
  <si>
    <t>Transportation Specialist</t>
  </si>
  <si>
    <t>Arrow Electronics</t>
  </si>
  <si>
    <t>Arrow ElectronicsNYSE: ARW: Distributes electronic components and enterprise computing solutions globally.</t>
  </si>
  <si>
    <t>4+ YOE4+ years in transportation/freight forwarding; data analytics; Excel; experience with parcel, ocean, and air freight; TMS/WMS; import/export knowledge.</t>
  </si>
  <si>
    <t>TMS, WMS, Excel</t>
  </si>
  <si>
    <t>DV Engineer EDU Validation (Budapest, HU)</t>
  </si>
  <si>
    <t>Jaguar Land Rover</t>
  </si>
  <si>
    <t>Jaguar Land Rover: Manufacturer of luxury vehicles and sport utility vehicles.</t>
  </si>
  <si>
    <t>Willing to work across sites, valid driver’s license, powertrain testing experience, EDU testing, data tools familiarity, strong communication, engineering degree.</t>
  </si>
  <si>
    <t>AVL Concerto, MDA, Testlab, INCA, MATLAB, Python, Vector Box, ETAS, Delta Analyser, Torque transducers, Dyno testing</t>
  </si>
  <si>
    <t>Senior Product Manager - User Progress</t>
  </si>
  <si>
    <t>JobHire.ai</t>
  </si>
  <si>
    <t>JobHire.ai: Automates job searches and applications using artificial intelligence.</t>
  </si>
  <si>
    <t>5+ YOE5+ years in product management (B2C SaaS), focus on value perception, UX, retention; data-driven, ownership; experience with AI/LLM-powered workflows.</t>
  </si>
  <si>
    <t>AI, SaaS, Product analytics, UX tools</t>
  </si>
  <si>
    <t>HR Services Intern (French) (18833)</t>
  </si>
  <si>
    <t>The Estée Lauder Companies</t>
  </si>
  <si>
    <t>The Estée Lauder CompaniesNYSE: EL: Manufactures and markets prestige skin care, makeup, and fragrances.</t>
  </si>
  <si>
    <t>Ongoing college/university studies; available 25+ hours/week; fluent in French and English; strong data entry skills; adaptable to country-specific processes.</t>
  </si>
  <si>
    <t>SAP S/4 HANA Functional SPOC - MM</t>
  </si>
  <si>
    <t>Continental</t>
  </si>
  <si>
    <t>ContinentalXetra: CON: Manufactures tires and electronic systems for the automotive industry.</t>
  </si>
  <si>
    <t>Several years in SAP environment for at least one module in a multinational setting; fluent English and good German; strong project management and data analysis skills.</t>
  </si>
  <si>
    <t>SAP, JIRA, Data Migration, Cutover Planning</t>
  </si>
  <si>
    <t>Jogi gyakornok (Budapest, HU, 1106)</t>
  </si>
  <si>
    <t>Servier</t>
  </si>
  <si>
    <t>Servier: Innovating pharmaceutical treatments for oncology, cardiology, and neurology.</t>
  </si>
  <si>
    <t>Pursuing undergraduate/graduate law studies; available for 20 hours weekly; precise, reliable, eager to learn; intermediate English; good with translations and data handling.</t>
  </si>
  <si>
    <t>Microsoft Excel, English translation workflow</t>
  </si>
  <si>
    <t>SuccessFactors Subject Matter Expert (Budapest, Central Hungary (Közép-Magyarország), HU)</t>
  </si>
  <si>
    <t>4+ YOEBachelor's or Master's in HR or Information Systems; 4–5 years' relevant experience; SAP SuccessFactors certification; experience with global HR operations and data management.</t>
  </si>
  <si>
    <t>SAP SuccessFactors, HRIS, Reporting, Analytics, Data Governance</t>
  </si>
  <si>
    <t>International Digital Media Buyer Assistant</t>
  </si>
  <si>
    <t>WPP Media</t>
  </si>
  <si>
    <t>WPP Media: Global media investment management and advertising services.</t>
  </si>
  <si>
    <t>0+ YOEEntry level role assisting digital media buyers with data recording, analysis, and campaign administration. Strong organizational skills and ability to work in a collaborative environment.</t>
  </si>
  <si>
    <t>Cyber Security Architecture</t>
  </si>
  <si>
    <t>Budapest or Krakow</t>
  </si>
  <si>
    <t>zł340k-zł468k/yr</t>
  </si>
  <si>
    <t>GE HealthCare</t>
  </si>
  <si>
    <t>GE HealthCareNasdaq: GEHC: Manufacturing medical imaging systems and digital health solutions.</t>
  </si>
  <si>
    <t>Bachelor's in Computer Science or STEM with strong field experience; design and implement security architectures; focus on cyber risk, cloud security, encryption, and data protection.</t>
  </si>
  <si>
    <t>Eli LillyNYSE: LLY: Discovers and manufactures pharmaceutical medicines for global healthcare needs.</t>
  </si>
  <si>
    <t>Healthcare sales role requiring higher healthcare education, strong communication, ethical sales, data analysis, and field expertise; valid Category B driver license.</t>
  </si>
  <si>
    <t>Tableau, CRM</t>
  </si>
  <si>
    <t>Analyst, People Operations - Dutch Speaking</t>
  </si>
  <si>
    <t>IFF</t>
  </si>
  <si>
    <t>IFFNYSE: IFF: Produces flavors, fragrances, and ingredients for global consumer products.</t>
  </si>
  <si>
    <t>Dutch and English proficiency; HR or related degree preferred; strong customer service and communication skills; MS Office; data accuracy; HR/Workday experience advantageous.</t>
  </si>
  <si>
    <t>Workday, Microsoft Office</t>
  </si>
  <si>
    <t>Analyst - Procurement, Sourcing &amp; Contracting (Budaors, HU)</t>
  </si>
  <si>
    <t>Budaors, Budapest, Hungary</t>
  </si>
  <si>
    <t>Contract, Full Time</t>
  </si>
  <si>
    <t>Tetra Pak</t>
  </si>
  <si>
    <t>Tetra Pak: Provides liquid food processing and packaging solutions globally.</t>
  </si>
  <si>
    <t>2+ YOE2+ years in procurement/sourcing/contracting and/or supplier base management; Bachelor's degree or equivalent; strong English communication; able to drive change; data-driven and Agile mindset.</t>
  </si>
  <si>
    <t>E-procurement tools, Procuring/e-procurement platforms</t>
  </si>
  <si>
    <t>Ford Motor Company</t>
  </si>
  <si>
    <t>Ford Motor CompanyNYSE: F: Manufactures and sells automobiles and provides vehicle financing.</t>
  </si>
  <si>
    <t>0+ YOEBachelor’s degree preferred; 0-3 years in customer service, data processing, or HR; German labor law knowledge; strong Excel and SAP; fluent in English and German.</t>
  </si>
  <si>
    <t>MS Excel, SAP, HR Information Systems</t>
  </si>
  <si>
    <t>10h</t>
  </si>
  <si>
    <t>Technical Project Manager</t>
  </si>
  <si>
    <t>DATAPAO: Provides data engineering, AI consulting, and technical training services.</t>
  </si>
  <si>
    <t>Proven track record managing complex, software-adjacent projects in data engineering, AI, or cloud infrastructure; strong stakeholder management; English proficiency; PMP/PRINCE2 is a plus.</t>
  </si>
  <si>
    <t>Agile, Scrum, Waterfall, SFDC, Productive, Asana, Google Sheets, Slides</t>
  </si>
  <si>
    <t>Labelling Support Specialist</t>
  </si>
  <si>
    <t>Cognizant</t>
  </si>
  <si>
    <t>CognizantNASDAQ: CTSH: Provides IT consulting, digital transformation, and business process outsourcing.</t>
  </si>
  <si>
    <t>Bachelor’s degree in life sciences/pharmacy; Regulatory Affairs/Pharmacovigilance data handling experience; English proficiency; strong communication; prioritization; teamwork; problem-solving; detail-oriented.</t>
  </si>
  <si>
    <t>Microsoft Word, Docuvera</t>
  </si>
  <si>
    <t>IT - Business Systems Administrator – Engineering &amp; EHS Applications</t>
  </si>
  <si>
    <t>Calderys: Independent, global specialty materials provider delivering advanced solutions</t>
  </si>
  <si>
    <t>Bachelor's or equivalent experience in IT/Engineering; strong knowledge of EHS IT applications and engineering IT, ITIL service delivery, cloud apps and SSO (Okta); API/data management; English fluent.</t>
  </si>
  <si>
    <t>ServiceNow, Okta, Web APIs, Cloud applications, PLM, CAD, Engineering IT, EHS software</t>
  </si>
  <si>
    <t>Lead Product Manager (Payments &amp; Indirect Payroll)</t>
  </si>
  <si>
    <t>Lisbon or Barcelona or Bucharest or Warsaw or Johannesburg or Budapest</t>
  </si>
  <si>
    <t>Oyster</t>
  </si>
  <si>
    <t>Oyster: Global employment platform for hiring and paying distributed teams.</t>
  </si>
  <si>
    <t>5+ YOE5+ years product management, 3+ years fintech/payments, 3+ years cross-functional B2B leadership; strong data-driven, international experience; ownership mindset.</t>
  </si>
  <si>
    <t>Payroll Analyst</t>
  </si>
  <si>
    <t>One Identity</t>
  </si>
  <si>
    <t>One Identity: Develops identity security software for enterprise access management</t>
  </si>
  <si>
    <t>2+ YOEEMEA payroll experience across multiple countries, Hungary familiarity, 2+ years regional payroll projects, fluency in English, ability to coordinate, analyze and report payroll data.</t>
  </si>
  <si>
    <t>Payroll software, ERP, Excel</t>
  </si>
  <si>
    <t>Talent Acquisition Specialist</t>
  </si>
  <si>
    <t>Kpler</t>
  </si>
  <si>
    <t>Kpler: Real-time data and analytics for global trade intelligence.</t>
  </si>
  <si>
    <t>5+ YOE5+ years in Talent Acquisition; scale-ups/SaaS/tech; full-cycle recruitment across functions; sourcing, market insights; interviewing and stakeholder management; data-driven approach.</t>
  </si>
  <si>
    <t>Senior Full Stack Developer</t>
  </si>
  <si>
    <t>Everbridge</t>
  </si>
  <si>
    <t>Everbridge: Provides software for emergency communications and incident management.</t>
  </si>
  <si>
    <t>5+ YOE5+ years software engineering; strong .NET Core 6+ and C#; React; REST microservices; Docker; Kubernetes; AWS; CI/CD; geospatial data and security platform familiarity.</t>
  </si>
  <si>
    <t>.NET Core, C#, HTML5, CSS3, JavaScript, React, OpenAPI, Docker, Kubernetes, AWS, GitLab, Selenium</t>
  </si>
  <si>
    <t>Growth Manager - CEE</t>
  </si>
  <si>
    <t>Bucharest or Budapest or Tallinn</t>
  </si>
  <si>
    <t>Binance</t>
  </si>
  <si>
    <t>Binance: Global cryptocurrency exchange and blockchain infrastructure provider.</t>
  </si>
  <si>
    <t>3+ YOE3-5+ years in Growth/Digital/Marketing with data-driven mindset; strong analytical skills; execution-oriented; capable of leading campaigns end-to-end; crypto/blockchain interest favorable.</t>
  </si>
  <si>
    <t>IC Key Account Executive Spar, Discounters, Coop, Metro</t>
  </si>
  <si>
    <t>The Magnum Ice Cream Company</t>
  </si>
  <si>
    <t>The Magnum Ice Cream CompanyEuronext Amsterdam: MICC: Global manufacturer and distributor of premium ice cream brands.</t>
  </si>
  <si>
    <t>1+ YOESupport KA team, manage customer communications, promote listings and promotions, handle pricing data, and collaborate with multiple internal functions. Fluent Hungarian and English; economics degree; strong IT skills.</t>
  </si>
  <si>
    <t>Word, Excel, PowerPoint</t>
  </si>
  <si>
    <t>Application Developer - Interface Developer (Budapest, HU, 1037)</t>
  </si>
  <si>
    <t>Bechtle</t>
  </si>
  <si>
    <t>BechtleXetra: BC8: Provides IT infrastructure solutions and sells hardware and software.</t>
  </si>
  <si>
    <t>Experience in integration projects (data mapping); SQL knowledge; BPMN process modeling; web services development (REST, SOAP, OData); Java programming knowledge; strong communication in German and English.</t>
  </si>
  <si>
    <t>Junior Eco Solutions Sales Operation and Demand Planner (Budapest, Budapest, Hungary)</t>
  </si>
  <si>
    <t>L-H Battery Company</t>
  </si>
  <si>
    <t>L-H Battery Company: Manufacturer of lithium-ion batteries for electric vehicles.</t>
  </si>
  <si>
    <t>0+ YOECollege degree; recent graduate or up to 2 years in business/analytical role; fluent in English and Hungarian; strong Excel and data analysis skills; proactive, team-oriented, good communicator.</t>
  </si>
  <si>
    <t>Excel, Statistical Analysis</t>
  </si>
  <si>
    <t>Finance Analyst</t>
  </si>
  <si>
    <t>Freetrade</t>
  </si>
  <si>
    <t>Freetrade: Provides a commission-free mobile platform for retail stock investing.</t>
  </si>
  <si>
    <t>2:1+ in STEM/Finance/Accounting/Economics; pursuing accounting qualification; proficient in Google Sheets/Excel; interested in Looker/SQL; strong data analysis and cross-team collaboration; interest in investment industry.</t>
  </si>
  <si>
    <t>Google Sheets, Excel, Looker, SQL</t>
  </si>
  <si>
    <t>Technical Product Manager (OTE $70,000/year USD), @Sparkrock Finance</t>
  </si>
  <si>
    <t>Belgrade or Bucharest or Budapest or Warsaw or Prague or Kiev or Sofia</t>
  </si>
  <si>
    <t>Sparkrock</t>
  </si>
  <si>
    <t>Sparkrock: Sparkrock provides cloud ERP software for nonprofits and education.</t>
  </si>
  <si>
    <t>5+ YOE5+ years in software; 2+ years as Technical Product Manager; ERP Finance experience; BS in CS/Software Eng; cloud, API, data modeling; non-profit/public sector finance exposure.</t>
  </si>
  <si>
    <t>Jira, Confluence, Lovable, Replit, Bolt, Lucidchart, Miro, Visio, Figma, Git, Azure DevOps, CI/CD</t>
  </si>
  <si>
    <t>Senior Product Manager, Cloud Infrastructure</t>
  </si>
  <si>
    <t>Cloudera</t>
  </si>
  <si>
    <t>Cloudera: Hybrid data platform for management and analytics.</t>
  </si>
  <si>
    <t>5+ YOE5+ years in product management or technical product management; cloud/data platform experience; knowledge of AWS/Azure/GCP; ability to translate architecture into business outcomes; degree in related field or equivalent experience.</t>
  </si>
  <si>
    <t>AWS, Azure, GCP, Cloud Infrastructure, Kubernetes</t>
  </si>
  <si>
    <t>Senior Network Engineer</t>
  </si>
  <si>
    <t>Itron</t>
  </si>
  <si>
    <t>Itron: Provides smart meters and software for utility resource management</t>
  </si>
  <si>
    <t>6+ YOESix+ years in a similar role; Bachelor’s degree; strong switching (Cisco/Arista); cloud (Azure/AWS/GCP); network automation; routing (OSPF/BGP/RIP); firewalls; load balancers; Next Gen Data Center.</t>
  </si>
  <si>
    <t>Cisco, Arista, Azure, AWS, GCP, Network Automation, OSPF, BGP, RIP, Firewalls, Cisco ASA, Fortinet, Palo Alto, A10, F5, Next Gen Data Center</t>
  </si>
  <si>
    <t>Sales Support Specialist</t>
  </si>
  <si>
    <t>Teya</t>
  </si>
  <si>
    <t>Teya: Integrated payment and software solutions for local businesses.</t>
  </si>
  <si>
    <t>Hungarian and English language proficiency; strong customer support and communication skills; experience in handling high-volume inquiries; ability to collaborate with KYC and sales teams; documentation and data entry accuracy; problem solving and proactive follow-up.</t>
  </si>
  <si>
    <t>Continuous Improvement Manager</t>
  </si>
  <si>
    <t>Xylem</t>
  </si>
  <si>
    <t>XylemNYSE: XYL: Designs and manufactures equipment for water transport, treatment, and testing.</t>
  </si>
  <si>
    <t>5+ YOE5-8 years CI/Lean/Six Sigma experience in non-manufacturing contexts; Green Belt preferred; data analysis and project management skills; English required, Hungarian preferred; familiarity with SharePoint, Power BI, and Power Automate.</t>
  </si>
  <si>
    <t>SharePoint, Power BI, Power Automate, CRM</t>
  </si>
  <si>
    <t>Gyártási Quality gyakornok</t>
  </si>
  <si>
    <t>Internship, Part Time</t>
  </si>
  <si>
    <t>Aumovio</t>
  </si>
  <si>
    <t>AumovioFrankfurt Stock Exchange: AMV0: Develops electronics and software for autonomous and connected mobility.</t>
  </si>
  <si>
    <t>0+ YOECurrently pursuing higher education in technical, economic, or engineering informatics; part-time student; at least 20 hours/week; strong MS Office, Excel, data handling; strong analytical and problem-solving skills; precise and accurate work; intermediate English preferred.</t>
  </si>
  <si>
    <t>Power BI, Excel, PowerPoint, MS Office</t>
  </si>
  <si>
    <t>Bevételezés támogató munkatárs (Budapest, HU, 1185)</t>
  </si>
  <si>
    <t>Aeroplex</t>
  </si>
  <si>
    <t>Aeroplex: Provides maintenance and repair services for commercial passenger aircraft.</t>
  </si>
  <si>
    <t>Assist receiving team with incoming goods, organize receiving area, operate forklifts, log shipments, communicate with carriers in English, and record data on PDA; requires B license, secondary education, and basic MS Office skills; emphasis on accuracy, communication, and problem-solving.</t>
  </si>
  <si>
    <t>MS Office, PDA</t>
  </si>
  <si>
    <t>CRM &amp; Loyalty csoportvezető - határozott időre (2027 szeptemberig) (Budapest, HU, 1138)</t>
  </si>
  <si>
    <t>MediaMarktSaturn</t>
  </si>
  <si>
    <t>MediaMarktSaturnFrankfurt Stock Exchange: CEC: Operates retail stores for consumer electronics and household appliances.</t>
  </si>
  <si>
    <t>3+ YOE2+ Mgmt2 years as group leader/junior manager; 3+ years CRM and campaign management; experience with CRM systems and marketing automation (Salesforce, Bloomreach, HubSpot, Zeotap); structured thinking; high accuracy; strong analytical and data-driven mindset; active English language skills.</t>
  </si>
  <si>
    <t>Salesforce, Bloomreach, HubSpot, Zeotap</t>
  </si>
  <si>
    <t>HR Experience Specialist | Central Europe</t>
  </si>
  <si>
    <t>Hungary or Lithuania or Latvia or Czech Republic</t>
  </si>
  <si>
    <t>Deel: Software platform for managing global payroll and human resources</t>
  </si>
  <si>
    <t>3+ YOE3-5 years as an HR Specialist; full employee lifecycle; English and local language; strong communication; EMEA region knowledge (Hungary or Czech Republic); HR qualifications valued; experience with Lithuania/Latvia advantageous; startup experience; data-driven; familiarity with JIRA, Zendesk, Slack a plus.</t>
  </si>
  <si>
    <t>JIRA, Zendesk, Slack</t>
  </si>
  <si>
    <t>23h</t>
  </si>
  <si>
    <t>Analytical CMC Writer (Budapest, HU)</t>
  </si>
  <si>
    <t>Gedeon RichterBudapest Stock Exchange: RICHTER: Develops and manufactures innovative pharmaceutical and biotechnological medicines.</t>
  </si>
  <si>
    <t>1+ YOEMSc in pharmacy/chemical engineering/bioengineering; min 1 year pharma/regulatory experience; English proficiency; MS Office; Veeva knowledge a plus; strong data handling.</t>
  </si>
  <si>
    <t>Veeva, Microsoft Office</t>
  </si>
  <si>
    <t>Department - R&amp;D, No keyword, 3 months, Budapest (Remote, Hybrid, Onsite),</t>
  </si>
  <si>
    <t>Head of Breeding Technologies Europe (m/f/d)</t>
  </si>
  <si>
    <t>Syngenta Group: Develops and provides seeds and crop protection products globally.</t>
  </si>
  <si>
    <t>15+ YOE10+ MgmtPhD in Plant Breeding or Genetics; 15+ years plant breeding; 10+ years leadership; DH and CMS experience; capital planning; international program leadership.</t>
  </si>
  <si>
    <t>Double haploid technology, CMS/sterility technologies, Molecular markers, Genomics, Breeding technologies</t>
  </si>
  <si>
    <t>Medical Advisor Oncology</t>
  </si>
  <si>
    <t>AbbVie</t>
  </si>
  <si>
    <t>AbbVieNYSE: ABBV: Develops and manufactures pharmaceutical products and medical aesthetics.</t>
  </si>
  <si>
    <t>0+ YOEMD or PharmD; English fluency; valid driver’s license; travel up to 50%; strong communication; pharmaceutical industry knowledge.</t>
  </si>
  <si>
    <t>Join our Talent Pool - Clinical Research Associates (Eastern Europe)</t>
  </si>
  <si>
    <t>Budapest or Vienna or Zagreb or Vilnius</t>
  </si>
  <si>
    <t>Alimentiv</t>
  </si>
  <si>
    <t>Alimentiv: Global clinical research organization providing gastrointestinal drug development services.</t>
  </si>
  <si>
    <t>1+ YOEExperience in clinical research; supports site management, data review, and monitoring activities; seniority varies across roles.</t>
  </si>
  <si>
    <t>Research Assistant (f/m/d) (Budapest, HU, 1051)</t>
  </si>
  <si>
    <t>Central European University</t>
  </si>
  <si>
    <t>Central European University: Private research university providing higher education in social sciences.</t>
  </si>
  <si>
    <t>BA or equivalent; fluent in English and Hungarian; experience with babies/children or psychology a plus.</t>
  </si>
  <si>
    <t>Scientific Support - Associate (Budapest, HU)</t>
  </si>
  <si>
    <t>Charles River Laboratories</t>
  </si>
  <si>
    <t>Charles River LaboratoriesNYSE: CRL: Provides drug discovery and preclinical development research services.</t>
  </si>
  <si>
    <t>Secondary/technical education; laboratory experience; general lab equipment use; independent, responsible; dynamic, team player; English proficiency; ISO 9001 knowledge a plus; MS Office skills.</t>
  </si>
  <si>
    <t>Laboratory equipment, MS Office (Word, Excel)</t>
  </si>
  <si>
    <t>Clinical Research Associate II</t>
  </si>
  <si>
    <t>Precision for Medicine</t>
  </si>
  <si>
    <t>Precision for Medicine: Biomarker-driven clinical research organization for life sciences companies.</t>
  </si>
  <si>
    <t>2+ YOELife science degree or equivalent; 2+ years as CRA in CRO/pharma; willing to travel domestically 50-60%; fluent in English and Hungarian; oncology monitoring experience a plus.</t>
  </si>
  <si>
    <t>Precision Medicine Group</t>
  </si>
  <si>
    <t>Precision Medicine Group: Provides clinical research and commercialization services for biopharmaceutical companies.</t>
  </si>
  <si>
    <t>2+ YOELife science degree or equivalent experience; 2+ years CRA experience; willingness to travel domestically; English and Hungarian fluency.</t>
  </si>
  <si>
    <t>Sr Medical Writer</t>
  </si>
  <si>
    <t>Barcelona or Hungary or Portugal or Serbia or United Kingdom</t>
  </si>
  <si>
    <t>Syneos Health: Provides clinical development and commercial services for biopharmaceutical companies.</t>
  </si>
  <si>
    <t>3+ YOE3-5 years in science/medical writing; biotechnology/pharma/CRO experience; knowledge of FDA/ICH; strong English grammar; AMA style familiarity.</t>
  </si>
  <si>
    <t>Principal Biostatistician - FSP Europe</t>
  </si>
  <si>
    <t>Brussels or France or Hungary or Netherlands or Italy or Poland or United Kingdom or Spain</t>
  </si>
  <si>
    <t>Thermo Fisher ScientificNYSE: TMO: Supplies analytical instruments and laboratory consumables for scientific research.</t>
  </si>
  <si>
    <t>10+ YOEPhD or MS in Biostatistics with at least 10 years of clinical research experience (Phase I-III); proficient in SAS; CDISC standards; R/EAST/WinBUGS; knowledge of ICH-GCP; CRO/vendor management; strong communication and regulatory interaction skills.</t>
  </si>
  <si>
    <t>SAS, R, EAST, WinBUGS, CDISC, ICH-GCP</t>
  </si>
  <si>
    <t>Fejlesztő analitikus (határozott idő 2 év, 2 műszak) (Budapest, HU, 1165)</t>
  </si>
  <si>
    <t>1+ YOEDevelop UHPLC analytical methods for drug products; 2-year fixed-term, two-shift schedule; MSc in chemistry/pharma; 1+ year analytical development experience; English proficiency; team player.</t>
  </si>
  <si>
    <t>HPLC, UPLC, UHPLC, Empower, ELN, pharmaceutical analysis</t>
  </si>
  <si>
    <t>Kutató (2 év határozott szerződés) (Budapest, HU, 1131)</t>
  </si>
  <si>
    <t>OTP BankBudapest Stock Exchange: OTP: Provides universal banking and financial services in Europe.</t>
  </si>
  <si>
    <t>3+ YOEBachelor-level degree in economics/sociology/psychology; minimum 3 years of professional experience; confident in PPT and Excel; strong analytical and communication skills; able to work independently and collaboratively; English at negotiation level.</t>
  </si>
  <si>
    <t>PowerPoint, Excel, SPSS</t>
  </si>
  <si>
    <t>Clinical Evaluation Specialist</t>
  </si>
  <si>
    <t>2+ YOEMaster’s or PhD in science/engineering/medical field; 2+ years in clinical evaluations or related field; advanced MS Office skills.</t>
  </si>
  <si>
    <t>Microsoft Office, Word, Excel, Reference management software</t>
  </si>
  <si>
    <t>2+ YOEMaster’s or PhD in Science, Engineering, or Medical field; 2+ years in clinical evaluations/medical writing; EU MDR knowledge; strong MS Office and literature/data analysis skills; remote work preferred.</t>
  </si>
  <si>
    <t>Microsoft Office, Word, Excel, Reference manager software</t>
  </si>
  <si>
    <t>Clinical Trial Coordinator - VIE contract</t>
  </si>
  <si>
    <t>0+ YOERegulatory affairs experience; MSc in Pharmacy or related field; fluent English; strong communication and cross-functional coordination; CTIS/CTA familiarity.</t>
  </si>
  <si>
    <t>CTIS, Vault RIM, CTA documentation tools, Sanofi repository systems</t>
  </si>
  <si>
    <t>Senior Regulatory Affairs Associate - Slovenia Local Regulatory Responsible Person</t>
  </si>
  <si>
    <t>Croatia or Poland or Hungary or Lithuania or Romania or Prague</t>
  </si>
  <si>
    <t>5+ YOEMinimum 5 years’ Slovenian regulatory affairs experience; strong understanding of Slovenian and EU requirements; fluent in Slovenian and English; regulatory submission expertise (CP, MRP, DCP, National); lifecycle management; labelling; Veeva Vault knowledge.</t>
  </si>
  <si>
    <t>Veeva Vault, Documentation management systems</t>
  </si>
  <si>
    <t>Laboratóriumi technikust keresünk az Eurofins Food and Feed Testing Budapest Kft. Kromatográfiás és általános kémiai részleg laboratóriumába</t>
  </si>
  <si>
    <t>Eurofins Scientific</t>
  </si>
  <si>
    <t>Eurofins ScientificEuronext Paris: ERF: Providing global bioanalytical testing and specialized laboratory services.</t>
  </si>
  <si>
    <t>Secondary-level technical training in lab analytics; experience with general lab practices; basic IT skills; reliable and precise work.</t>
  </si>
  <si>
    <t>SPE, Liquid-Liquid Extraction, Photometry, Analytical Balance, Pipetting</t>
  </si>
  <si>
    <t>Regulatory Specialist Diagnostics (Maternity cover)</t>
  </si>
  <si>
    <t>RocheSIX Swiss Exchange: ROG: Researching and producing medicines and diagnostic tests for patients.</t>
  </si>
  <si>
    <t>0+ YOEBachelor’s or Master’s degree or equivalent; 0-5 years in Regulatory, R&amp;D, Quality, Operations or Clinical; fluent in English; German a plus; autonomous worker.</t>
  </si>
  <si>
    <t>Regulatory Information Management System, Documentation Management System</t>
  </si>
  <si>
    <t>PSI CRO</t>
  </si>
  <si>
    <t>PSI CRO: Conducts global clinical trials for pharmaceutical and biotechnology companies.</t>
  </si>
  <si>
    <t>2+ YOEBachelor's in Life Sciences or related field; at least 2 years on-site monitoring in Hungary; monitoring Phase II/III; English and Hungarian; MS Office; travel willingness; valid driver's license.</t>
  </si>
  <si>
    <t>Microsoft Office</t>
  </si>
  <si>
    <t>Student Researcher Program</t>
  </si>
  <si>
    <t>Reasonable AI</t>
  </si>
  <si>
    <t>Reasonable AI: Developing superhuman programming AI through advanced training paradigms.</t>
  </si>
  <si>
    <t>0+ YOEPhD candidate in CS/related field; experience in one CS area; enrolled full-time and returning after internship.</t>
  </si>
  <si>
    <t>Medical Science Liaison, Immunology (IBD), Central Europe</t>
  </si>
  <si>
    <t>Germany or Czech Republic or Slovakia or Hungary</t>
  </si>
  <si>
    <t>Amplity Health</t>
  </si>
  <si>
    <t>Amplity Health: Provides outsourced commercial and medical services for biopharma companies.</t>
  </si>
  <si>
    <t>3+ YOE3+ years in medical affairs; advanced doctoral degree preferred; fluent in English and local language; willing to travel up to 70%</t>
  </si>
  <si>
    <t>2+ YOEPhD or advanced degree in a quantitative field; 2-3+ years of quantitative/investment research experience; strong English communication; strong quantitative and analytical skills; interest in empirical research and data-driven investment problems.</t>
  </si>
  <si>
    <t>Turbine</t>
  </si>
  <si>
    <t>Turbine: Virtualizes biological experiments using AI to accelerate drug discovery.</t>
  </si>
  <si>
    <t>Clinical Scientist - Oncology-Hematology / CNS/ Immunology &amp; Internal Medicine</t>
  </si>
  <si>
    <t>Budapest or Sofia</t>
  </si>
  <si>
    <t>5+ YOEPhD or PharmD preferred; 5+ years clinical trial experience; English C1; oncology/neurology/CNS/internal medicine experience.</t>
  </si>
  <si>
    <t>eTMF</t>
  </si>
  <si>
    <t>Félvezető karakterizáló gyakornok</t>
  </si>
  <si>
    <t>2+ YOEActive student in BSc/MSc; at least 2 years of relevant internship/academic project experience; basic electronics and embedded systems; Matlab/Python; English proficiency; 20+ hours/week for 1 year.</t>
  </si>
  <si>
    <t>Matlab, Python, Embedded systems, C programming</t>
  </si>
  <si>
    <t>Circularity Manager (m/f/d)</t>
  </si>
  <si>
    <t>Garching or Budapest</t>
  </si>
  <si>
    <t>5+ YOE5+ years in automotive/electrical manufacturing; circularity strategy, KPIs, regulations; cross-functional PM; strong communication.</t>
  </si>
  <si>
    <t>CognizantNASDAQ: CTSH: Provides IT consulting and business process outsourcing services globally.</t>
  </si>
  <si>
    <t>Pediatric / Neuromuscular neurologist - Medical Director</t>
  </si>
  <si>
    <t>Budapest or Madrid or Stirling</t>
  </si>
  <si>
    <t>Medpace</t>
  </si>
  <si>
    <t>MedpaceNasdaq: MEDP: Global clinical research organization managing drug and device development.</t>
  </si>
  <si>
    <t>MD or equivalent; board certification and licensure preferred; clinical trial and pharma research experience preferred.</t>
  </si>
  <si>
    <t>Morrisville or Madhapur or Buenos Aires or Belgrade or Gurgaon or London or Pune or Beijing or Toronto or Warsaw or Madrid or Tlalnepantla or Bucharest or Budapest or Barcelona or Amsterdam</t>
  </si>
  <si>
    <t>Syneos Health: Provides clinical development and commercial services to biopharmaceutical companies.</t>
  </si>
  <si>
    <t>No specific requirements provided; multiple roles in clinical research, data, and project management; remote/hybrid options across locations.</t>
  </si>
  <si>
    <t>Senior Exploration Expert</t>
  </si>
  <si>
    <t>MOL GroupBudapest Stock Exchange: MOL: Refines crude oil and sells fuel and petrochemical products.</t>
  </si>
  <si>
    <t>10+ YOE15+ years in exploration geology/geophysics; degree in Geophysics/Geology/Geoscience; fluent in English; strong seismic interpretation and prospecting skills.</t>
  </si>
  <si>
    <t>Seismic interpretation, Petrophysical analysis, Drilling knowledge, Geoscience software</t>
  </si>
  <si>
    <t>R&amp;D Work Package Leader</t>
  </si>
  <si>
    <t>2+ YOEMaster or PhD in life science or engineering; at least 2 years in R&amp;D/production/QA in pharmaceutical or chemical industry; knowledge of organic chemistry; understanding GMP; project management skills.</t>
  </si>
  <si>
    <t>GMP, Project Management Tools</t>
  </si>
  <si>
    <t>Epidemiologist</t>
  </si>
  <si>
    <t>CognizantNASDAQ: CTSH: Provides IT consulting, digital transformation, and business process services.</t>
  </si>
  <si>
    <t>2+ YOEEpidemiology degree with literature review or pharmacoepidemiology experience; statistical software (STATA/SAS); fluent English; ability to critically appraise and synthesize literature.</t>
  </si>
  <si>
    <t>STATA, SAS, Literature Review tools</t>
  </si>
  <si>
    <t>Dossier Manager</t>
  </si>
  <si>
    <t>Ceva Animal Health</t>
  </si>
  <si>
    <t>Ceva Animal Health: Global provider of animal health pharmaceuticals and vaccine solutions.</t>
  </si>
  <si>
    <t>Prepare and manage regulatory dossiers, ensure regulatory compliance, and respond to authority inquiries.</t>
  </si>
  <si>
    <t>EHS gyakornok (Budapest, HU, 1238)</t>
  </si>
  <si>
    <t>Part Time, Internship</t>
  </si>
  <si>
    <t>0+ YOESupport engineers; create and manage Excel databases; admin tasks; maintain safety and environmental databases; communicate with other departments; document needs; 20 hours/week; basic Excel/Word/PowerPoint; good communication and problem-solving skills; open to new tasks.</t>
  </si>
  <si>
    <t>Excel, Word, PowerPoint</t>
  </si>
  <si>
    <t>Department - QA &amp; EHS, No keywords and filters, 3 months, Budapest (Remote, hybrid, onsite)</t>
  </si>
  <si>
    <t>Minőségbiztosító mintavevő (Budapest, HU)</t>
  </si>
  <si>
    <t>Secondary school education; experience in a similar area; ability to work three shifts; basic computer skills.</t>
  </si>
  <si>
    <t>Basic computer skills</t>
  </si>
  <si>
    <t>Termékaudit labor gyakornok</t>
  </si>
  <si>
    <t>MOL GroupBudapest Stock Exchange: MOL: Produces and distributes oil, gas, and petrochemical products</t>
  </si>
  <si>
    <t>Active student with at least 20 hours/week; accuracy, MS Office, English communication; interest in quality and packaging.</t>
  </si>
  <si>
    <t>Microsoft Office, Excel, Outlook, Word, SharePoint</t>
  </si>
  <si>
    <t>French speaking Pharmacovigilance QC Associate</t>
  </si>
  <si>
    <t>1+ YOEGraduate in life sciences/pharmacy/medical sciences; 1 year pharmacovigilance/clinical experience; English and French (B2) proficiency.</t>
  </si>
  <si>
    <t>Argus Affiliate, Argus Core, Document Exchange Tool, Adverse Event form</t>
  </si>
  <si>
    <t>Labor diák-Fejtési laboratórium (Budapest, HU)</t>
  </si>
  <si>
    <t>Asahi Europe &amp; International</t>
  </si>
  <si>
    <t>Asahi Europe &amp; InternationalTokyo Stock Exchange: 2502: Brews and distributes premium international beer and beverage brands.</t>
  </si>
  <si>
    <t>Student in good standing; reliable, precise; basic Excel; good communication; able to work independently; available for 10–11 weeks; start after exam period; June start possible.</t>
  </si>
  <si>
    <t>Excel (basic)</t>
  </si>
  <si>
    <t>Quality Resident Technician (m/f/d) (Cologne, DE)</t>
  </si>
  <si>
    <t>Debrecen, Budapest, Hungary</t>
  </si>
  <si>
    <t>Yazaki</t>
  </si>
  <si>
    <t>Yazaki: Manufacturer of automotive wiring harnesses and power distribution systems.</t>
  </si>
  <si>
    <t>Experience in production environment; strong problem solving and communication; fluent English and Hungarian; willingness to work in shifts.</t>
  </si>
  <si>
    <t>auditor (Budapest, HU, 40182)</t>
  </si>
  <si>
    <t>Magyar Közút</t>
  </si>
  <si>
    <t>Magyar Közút: Operates and maintains the national public road network.</t>
  </si>
  <si>
    <t>Engineering/technical degree; quality auditor experience in construction; basic IT (Excel, Word, Outlook); B driving license; knowledge of English, German, or French at intermediate level.</t>
  </si>
  <si>
    <t>Excel, Word, Outlook</t>
  </si>
  <si>
    <t>Manager Quality Services, Third Party Audits</t>
  </si>
  <si>
    <t>SanofiEuronext Paris: SAN: Develops and manufactures innovative medicines and life-saving vaccines</t>
  </si>
  <si>
    <t>7+ YOESenior level quality assurance and auditing role requiring 7–10 years in pharma, cGMP knowledge, CAPA, and supplier audit leadership.</t>
  </si>
  <si>
    <t>cGMP, CAPA, CFR, Quality Systems</t>
  </si>
  <si>
    <t>Hulladékgazdálkodási gyakornok (Budapest, HU, 1165)</t>
  </si>
  <si>
    <t>Enrolled as a full-time student under 25 in daytime status, preferably environmental engineering; proficient in MS Office; available 20-30 hours weekly; able to commit at least 1 year; precise, cooperative, proactive.</t>
  </si>
  <si>
    <t>In-Business Quality Assurance – Credit Processes, Vice President</t>
  </si>
  <si>
    <t>CitiNYSE: C: Provides global banking, investment, and financial services.</t>
  </si>
  <si>
    <t>5+ YOE5-10 years wholesale credit risk, loan operations, internal audit, or QA at a global financial institution; strong knowledge of wholesale and wealth credit processes; automation and data analytics skills; excellent stakeholder management.</t>
  </si>
  <si>
    <t>Python, Alteryx, Excel VBA</t>
  </si>
  <si>
    <t>Biodiversity Manager (Paris, FR, 75116)</t>
  </si>
  <si>
    <t>Paris or Naarden or Budapest or Ashford or Sant Celoni or Kemptthal or Vernier</t>
  </si>
  <si>
    <t>5+ YOE5+ years in biodiversity, environmental sciences, or responsible sourcing; fluent in English; travel ~10%; university degree in sustainability or related field; autonomous with matrix setup.</t>
  </si>
  <si>
    <t>In house Clinician – Dental (Part time, %40 FTE)</t>
  </si>
  <si>
    <t>Part Time</t>
  </si>
  <si>
    <t>SGS</t>
  </si>
  <si>
    <t>SGSSIX Swiss Exchange: SGSN: Provides global testing, inspection, and certification services.</t>
  </si>
  <si>
    <t>2+ YOEQualified Dentist with at least two years of experience; Dentistry degree; fluent in English.</t>
  </si>
  <si>
    <t>QA Associate</t>
  </si>
  <si>
    <t>1+ YOE1+ year in pharmaceutical QA or quality assurance; degree in chemistry or related field; knowledge of cGMP; intermediate English; strong problem-solving and team skills; computer literacy.</t>
  </si>
  <si>
    <t>Word, Excel, PowerPoint, cGMP</t>
  </si>
  <si>
    <t>Quality System Specialist</t>
  </si>
  <si>
    <t>3+ YOEBachelor’s in quality management or related; 3+ years managing electronic systems in regulated environments; QMS experience; Veeva knowledge a plus; system validation; regulatory industry experience.</t>
  </si>
  <si>
    <t>Veeva, Quality Management System, Document Management, CAPA, Change Control</t>
  </si>
  <si>
    <t>Higiéniai munkatárs - Budapest, XXII. kerület Nagytétényi út 216-218. (4 órás munkaidő) (Budapest, HU)</t>
  </si>
  <si>
    <t>Lidl: International discount supermarket chain selling groceries and household goods.</t>
  </si>
  <si>
    <t>Experience not specified; ability to perform cleaning tasks across store areas; flexible with weekend shifts.</t>
  </si>
  <si>
    <t>Facilities Coordinator</t>
  </si>
  <si>
    <t>JLL</t>
  </si>
  <si>
    <t>JLLNYSE: JLL: Global provider of commercial real estate and investment services.</t>
  </si>
  <si>
    <t>3+ YOEBachelor’s degree in facility management or related field; minimum 3 years in facility management; strong HSE knowledge; excellent communication; English fluency; MS Office and facility software proficiency.</t>
  </si>
  <si>
    <t>Microsoft Office, facility management software</t>
  </si>
  <si>
    <t>Analyste Qualité - Budapest, Hongrie (Budapest, Budapest, HU)</t>
  </si>
  <si>
    <t>Foundever</t>
  </si>
  <si>
    <t>Foundever: Provides global customer experience and business process outsourcing solutions.</t>
  </si>
  <si>
    <t>1+ YOEFrancophone Quality Analyst with at least 1 year QA experience; native or fluent French; intermediate English (B2); strong communication; MS Office proficiency; citizen or work permit for Hungary/Portugal; willing to relocate to Budapest.</t>
  </si>
  <si>
    <t>Quality Assurance Expert</t>
  </si>
  <si>
    <t>Bachelor’s or Master’s in Agronomy, Seed Technology, Quality Management or related field; experience with QA systems, audits, seed production, and English proficiency.</t>
  </si>
  <si>
    <t>SAP, Reliance, Smartsheet</t>
  </si>
  <si>
    <t>QC Analitika technikus</t>
  </si>
  <si>
    <t>Ceva Animal Health: Develops and manufactures vaccines and pharmaceutical products for animals.</t>
  </si>
  <si>
    <t>Pharmaceutical analysis experience, instrument handling, documentation, and lab support responsibilities.</t>
  </si>
  <si>
    <t>Analytical instruments, Laboratory software</t>
  </si>
  <si>
    <t>Lead - Quality</t>
  </si>
  <si>
    <t>Biatorbágy, Budapest, Hungary</t>
  </si>
  <si>
    <t>Lead and coordinate QA team; inspect incoming goods; ensure hygiene and quality; implement QA processes.</t>
  </si>
  <si>
    <t>HSE Coordinator (f/m/x)</t>
  </si>
  <si>
    <t>Szekesfehervar, Budapest, Hungary</t>
  </si>
  <si>
    <t>Mondelēz International</t>
  </si>
  <si>
    <t>Mondelēz InternationalNasdaq: MDLZ: Produces and markets snack foods like chocolate and biscuits.</t>
  </si>
  <si>
    <t>2+ YOEUniversity degree in Occupational Safety and Health; 2+ years in HSE, preferably in manufacturing; fire safety qualification; auditing/training experience; strong communication and stakeholder influence.</t>
  </si>
  <si>
    <t>QC LES Admin Expert</t>
  </si>
  <si>
    <t>Gödöllő, Budapest, Hungary</t>
  </si>
  <si>
    <t>GSK</t>
  </si>
  <si>
    <t>GSKLondon Stock Exchange: GSK: Develops and manufactures vaccines and medicines to treat diseases.</t>
  </si>
  <si>
    <t>3+ YOEDegree in science; 3+ years GMP pharma experience; Hungarian and English fluency; MS Office proficiency.</t>
  </si>
  <si>
    <t>MS Office, LIMS, LES, SAP</t>
  </si>
  <si>
    <t>Senior QA Engineer</t>
  </si>
  <si>
    <t>Connexity</t>
  </si>
  <si>
    <t>ConnexityNASDAQ: TBLA: Connects retailers and publishers through performance-based e-commerce marketing solutions.</t>
  </si>
  <si>
    <t>5+ YOE5–8 years QA experience; expert Cypress, Postman, Pytest, Cucumber; SQL backend testing; CI/CD (Jenkins, GitHub Actions); Python or JavaScript; lead test strategy across squads.</t>
  </si>
  <si>
    <t>Cypress, Postman, Pytest, Cucumber, SQL, Jenkins, GitHub Actions, Python, JavaScript, Sentry</t>
  </si>
  <si>
    <t>QC Instrument qualification specialist (Metrologist) (11360)</t>
  </si>
  <si>
    <t>Xellia Pharmaceuticals</t>
  </si>
  <si>
    <t>Xellia Pharmaceuticals: Manufacturer of anti-infective treatments and pharmaceutical ingredients.</t>
  </si>
  <si>
    <t>2+ YOEHigh school diploma with metrology experience or BSc in a scientific field; at least 2 years of cGMP experience; 2 years in QC or metrology.</t>
  </si>
  <si>
    <t>LIMS, TrackWise, Empower, EMS, Microsoft Word, Microsoft Excel, Database systems</t>
  </si>
  <si>
    <t>QA GCP Auditor</t>
  </si>
  <si>
    <t>MedpaceNasdaq: MEDP: Provides clinical trial management and drug development services.</t>
  </si>
  <si>
    <t>2+ YOEBachelor’s in life sciences or nursing; 2+ years QA GCP experience; GCP site and vendor audits; strong communication and teamwork; travel up to 50% across Europe.</t>
  </si>
  <si>
    <t>GCP, Auditing</t>
  </si>
  <si>
    <t>Minőségellenőr</t>
  </si>
  <si>
    <t>Caterpillar</t>
  </si>
  <si>
    <t>CaterpillarNYSE: CAT: Manufactures construction and mining equipment, diesel engines, and turbines.</t>
  </si>
  <si>
    <t>3+ YOEExperience as quality inspector in manufacturing, reading drawings, using measuring tools, documenting results, and ensuring product conformity. Able to work in two shifts.</t>
  </si>
  <si>
    <t>Caliper, Micrometer, 3D measurement equipment, Coordinate Measuring Machine (CMM), Gage blocks</t>
  </si>
  <si>
    <t>Beszállítói minőségbiztosítási ellenőr – Mechanikus alkatrészek (Supplier Quality Inspector - Mechanical Components)</t>
  </si>
  <si>
    <t>Engineering degree or technical diploma; experience in quality inspection of mechanical components; knowledge of ISO/DIN; English fluency; willingness to travel within Europe.</t>
  </si>
  <si>
    <t>Non-Destructive Testing (NDT), Engineering drawings, Quality inspection tools</t>
  </si>
  <si>
    <t>Senior Engineer, Quality and Process Compliance (Székesfehérvár, SF, HU, 8000)</t>
  </si>
  <si>
    <t>Székesfehérvár, Budapest, Hungary</t>
  </si>
  <si>
    <t>Grundfos: Manufactures pumps and water solutions for industrial and residential use.</t>
  </si>
  <si>
    <t>10+ YOESenior engineer with ISO audit and compliance expertise, 10+ years of experience, ISO 9001/14001/45001 auditor certification required, ISO 27001 preferred.</t>
  </si>
  <si>
    <t>Expert Tester OTC - (REF4896R)</t>
  </si>
  <si>
    <t>Budapest or Debrecen or Szeged or Pécs</t>
  </si>
  <si>
    <t>5+ YOE5-7 years IT experience with modern cloud technologies; experience with test automation (Robot Framework, Pytest) and Selenium; Linux and Terraform knowledge; Python; English proficiency; agile experience.</t>
  </si>
  <si>
    <t>Robot Framework, Pytest, Selenium, Linux, Terraform, Python</t>
  </si>
  <si>
    <t>Workflow Coordinator</t>
  </si>
  <si>
    <t>Újhartyán, Budapest, Hungary</t>
  </si>
  <si>
    <t>5+ YOEMinimum 5 years manufacturing or automotive experience; ability to interpret processes and work instructions; strong communication and problem-solving skills; precise administration and reporting; ability to work in a 3-shift schedule; assembly experience.</t>
  </si>
  <si>
    <t>Country Quality Manager (Maternity Cover)</t>
  </si>
  <si>
    <t>1+ YOE1 year of relevant experience in wholesale distribution; strong GxP/GDP knowledge; Hungarian and English fluency.</t>
  </si>
  <si>
    <t>Excel, Veeva Vault</t>
  </si>
  <si>
    <t>INGEuronext Amsterdam: INGA: Global financial institution providing banking and investment services.</t>
  </si>
  <si>
    <t>5+ YOEBachelor's degree in a technical field; minimum 5 years FM experience; project management; strong communication; proactive and independent; intermediate English; proficient MS Office; experience in facilities and personnel security is a plus.</t>
  </si>
  <si>
    <t>Senior QA Engineer, Integration Squad</t>
  </si>
  <si>
    <t>Paris or Barcelona or Belgrade or Bucharest or Budapest or Prague or Tallinn or Warsaw or Lisbon or Helsinki or Limassol or Podgorica or Zagreb</t>
  </si>
  <si>
    <t>Diabolocom</t>
  </si>
  <si>
    <t>Diabolocom: Provider of cloud-based AI contact center and telecommunications software.</t>
  </si>
  <si>
    <t>6+ YOE6+ years experience with 3+ years in test automation; JVM languages (Kotlin/Java/Groovy/Scala); Selenium; UI/API/database testing; CI/CD (GitLab); strong testing strategy and automation.</t>
  </si>
  <si>
    <t>Kotlin, Spring Boot, Cucumber, Gradle, GitLab, Selenium, Allure</t>
  </si>
  <si>
    <t>Product Quality Engineer (Budapest, HU, 1037)</t>
  </si>
  <si>
    <t>Festo: Provider of pneumatic and electrical industrial automation solutions.</t>
  </si>
  <si>
    <t>3+ YOEBachelor's degree in electrical or mechanical engineering; experience in quality management/quality assurance in manufacturing; knowledge of quality standards/tools; strong analytical and communication skills in English and Hungarian.</t>
  </si>
  <si>
    <t>MS Office, PDCA, CAPA, Quality standards</t>
  </si>
  <si>
    <t>Sportsbook - Frontend QA Engineer (Manual)</t>
  </si>
  <si>
    <t>Betsson Group</t>
  </si>
  <si>
    <t>Betsson GroupNasdaq Stockholm: BETS B: A global operator of online sports betting and gaming.</t>
  </si>
  <si>
    <t>2+ YOE2+ years QA experience, manual testing, knowledge of QA methodologies, TestRail, JIRA, Confluence; strong analytical skills and self-starter mindset.</t>
  </si>
  <si>
    <t>TestRail, JIRA, Confluence, Angular</t>
  </si>
  <si>
    <t>EHS Specialista</t>
  </si>
  <si>
    <t>Gyál, Budapest, Hungary</t>
  </si>
  <si>
    <t>3+ YOEMinimum 3 years of experience in occupational safety; strong English; MS Office proficiency; decisive, independent, and timely; excellent communication and conflict resolution skills.</t>
  </si>
  <si>
    <t>Vevői Quality gyakornok</t>
  </si>
  <si>
    <t>Pursuing higher studies; part-time availability; strong MS Office and Excel skills; good communication; basic quality knowledge; Hungarian speaker.</t>
  </si>
  <si>
    <t>MS Office, Excel, Power BI</t>
  </si>
  <si>
    <t>Head of EHS &amp; Lab Operations (Budapest, HU)</t>
  </si>
  <si>
    <t>Charles River LaboratoriesNYSE: CRL: Provides preclinical drug discovery and development laboratory services.</t>
  </si>
  <si>
    <t>3+ YOE3+ MgmtLead EHS and lab facilities; ensure regulatory compliance; manage budgets; lead multi-site teams; strong English communication.</t>
  </si>
  <si>
    <t>Software Test Engineer</t>
  </si>
  <si>
    <t>Manual testing, QA methodologies, Agile, test case creation, bug tracking, collaboration.</t>
  </si>
  <si>
    <t>Git, JIRA, Jenkins, SQL, Databases</t>
  </si>
  <si>
    <t>Workplace safety &amp; Climate risk analyst</t>
  </si>
  <si>
    <t>Entry level role focusing on audits, data collection, reporting, and coordination across safety and climate risk programs.</t>
  </si>
  <si>
    <t>Quality Assurance Auditor II</t>
  </si>
  <si>
    <t>3+ YOEBachelor’s degree in life sciences or related field; 3+ years QA/auditing/validation; knowledge of GCP/ICH; 21 CFR Part 11; QMS; strong communication.</t>
  </si>
  <si>
    <t>Microsoft Word, Microsoft Excel, Quality Management System (QMS) software, Electronic Document Management System (EDMS), SOPs</t>
  </si>
  <si>
    <t>Aviation Safety and Compliance Manager (Budapest, HU, 1185)</t>
  </si>
  <si>
    <t>5+ YOEUniversity degree in engineering; 5+ years in aircraft maintenance, quality assurance, or safety compliance; audits experience; English proficiency; strong communication and problem-solving.</t>
  </si>
  <si>
    <t>EN 9100, ISO 9001, Quality Management System (QMS)</t>
  </si>
  <si>
    <t>Automata tesztelő (Budapest, HU)</t>
  </si>
  <si>
    <t>B. Braun</t>
  </si>
  <si>
    <t>B. Braun: Global manufacturer of medical and pharmaceutical healthcare products.</t>
  </si>
  <si>
    <t>3+ YOEThree years software testing experience; degree in health engineering, computer science, or electrical engineering; 2+ years programming in C#; experience with test automation and documentation.</t>
  </si>
  <si>
    <t>Visual Studio, Git, JIRA, Polarion, SCRUM, TDD, Clean Code, C#</t>
  </si>
  <si>
    <t>Manuális Tesztelő Gyakornok (AB-579352)</t>
  </si>
  <si>
    <t>Abesse: Develops custom enterprise applications and automates business processes.</t>
  </si>
  <si>
    <t>Student in IT; active or passive (if under 25) full-time study; no prior professional testing required.</t>
  </si>
  <si>
    <t>Italian speaking Pharmacovigilance QC Associate</t>
  </si>
  <si>
    <t>0+ YOEItalian and English language proficiency; 0-2 years pharmacovigilance experience; life sciences/pharmacy/medical sciences degree.</t>
  </si>
  <si>
    <t>Argus, Document Exchange Tool, Standard AE form, Local Affiliate Module (LAM), Argus Core</t>
  </si>
  <si>
    <t>Advanced Quality Engineer (Budapest, HU)</t>
  </si>
  <si>
    <t>KUKA</t>
  </si>
  <si>
    <t>KUKA: Supplies industrial robots and automated logistics systems to manufacturers.</t>
  </si>
  <si>
    <t>5+ YOE5+ years in quality assurance or product development; degree in Engineering or Quality Management; knowledge of APQP, FMEA, PPA, risk management; fluent English; German is an advantage; strong analytical and project management skills.</t>
  </si>
  <si>
    <t>Quality Control &amp; Quality Assurance Inspector</t>
  </si>
  <si>
    <t>Sourceability</t>
  </si>
  <si>
    <t>Sourceability: Distributes electronic components and provides digital supply chain solutions.</t>
  </si>
  <si>
    <t>2+ YOE0-2 years in quality control/inspection of electronic components; proficient with Microsoft 365 and Adobe; familiar with ISO 9001; capable of documentation and training on processes; strong blueprints/tech docs reading; capable of product authentication and counterfeit mitigation.</t>
  </si>
  <si>
    <t>Microsoft 365, Adobe, X-ray inspection, XRF, Decapsulation, Solderability testing</t>
  </si>
  <si>
    <t>Safety and Compliance Engineer (Budapest, HU, H-1095)</t>
  </si>
  <si>
    <t>Wizz AirLondon Stock Exchange: WIZZ: Low-cost airline providing scheduled passenger flights across Europe.</t>
  </si>
  <si>
    <t>1+ YOE1-3+ years in Part M/Part 145; English fluency; higher education in aviation or Safety/Quality/Compliance; A320 Level III training/license advantageous.</t>
  </si>
  <si>
    <t>AMOS, Intelex, PC, MS Office</t>
  </si>
  <si>
    <t>EHS Manager &amp; Sustainability - EMEA lead (54856)</t>
  </si>
  <si>
    <t>EatonNYSE: ETN: Manufactures electrical, aerospace, and vehicle power management systems.</t>
  </si>
  <si>
    <t>8+ YOEEight+ years in EHS and/or sustainability program management in industrial environments; Bachelor's in environmental/sustainability/safety or technical field; advanced degree or certifications preferred.</t>
  </si>
  <si>
    <t>Contractor on Demand (Lead auditor Automotive - IATF) (Budapest, HU)</t>
  </si>
  <si>
    <t>LRQA</t>
  </si>
  <si>
    <t>LRQA: Global provider of assurance, certification, and inspection services.</t>
  </si>
  <si>
    <t>Lead Auditor (Automotive) qualified on IATF; contractor on demand in Budapest.</t>
  </si>
  <si>
    <t>QA Automation Engineer</t>
  </si>
  <si>
    <t>Sentec</t>
  </si>
  <si>
    <t>Sentec: Manufactures non-invasive respiratory monitoring and therapeutic medical devices.</t>
  </si>
  <si>
    <t>Experience with Python, Pytest, UI testing tools; CI/CD tools; bachelor’s degree; strong English; knowledge of medical device standards a plus.</t>
  </si>
  <si>
    <t>Python, Pytest, UI testing tools, Jenkins, GitLab</t>
  </si>
  <si>
    <t>Text Reviewer - German</t>
  </si>
  <si>
    <t>e2f</t>
  </si>
  <si>
    <t>e2f: Provides professional translation and AI data annotation services globally.</t>
  </si>
  <si>
    <t>German language proficiency (C1+), strong English reading/writing, careful analytical mindset, reliable internet, freelance flexible hours.</t>
  </si>
  <si>
    <t>Clinical Provider/Psychologist (Hungary)</t>
  </si>
  <si>
    <t>Intellect</t>
  </si>
  <si>
    <t>Intellect: Mental health platform providing localized coaching and clinical therapy.</t>
  </si>
  <si>
    <t>Master or postgraduate diploma in Counselling or Clinical Psychology; CBT or evidence-based approaches; 300+ clinical hours; fluent in English.</t>
  </si>
  <si>
    <t>Video Conferencing, Telehealth Platform</t>
  </si>
  <si>
    <t>Keyword - "Clinical, No filters, 6 months, Budapest (Remote, hybrid, onsite)</t>
  </si>
  <si>
    <t>Senior Clinical Team Manager/Clinical Lead -Non Interventional/Observational Studies</t>
  </si>
  <si>
    <t>Poland or Czech Republic or Serbia or Bulgaria or Hungary</t>
  </si>
  <si>
    <t>5+ YOE2+ MgmtLead clinical operations for non-interventional observational studies; ensure ICH/GCP compliance; manage team; budgets; start-up activities; English proficiency.</t>
  </si>
  <si>
    <t>Clinical Trial Assistant - Hungary based</t>
  </si>
  <si>
    <t>1+ YOEHigh school or university diploma; 1+ years clinical trials administration; MS Office; fluent Hungarian and English; strong time management; good communication; hybrid work with Budapest office.</t>
  </si>
  <si>
    <t>Senior Clinical Drug Supply Manager (Budapest, HU)</t>
  </si>
  <si>
    <t>Pharmacist or other science degree with pharma/clinical experience; active English; strong communication; proactive and precise.</t>
  </si>
  <si>
    <t>Clinical Budget Specialist</t>
  </si>
  <si>
    <t>Fortrea</t>
  </si>
  <si>
    <t>FortreaNasdaq: FTRE: Provides clinical trial management and drug development services globally.</t>
  </si>
  <si>
    <t>2+ YOENegotiates site agreements, maintains contract tracking, and supports SOP/compliance for clinical study contracts.</t>
  </si>
  <si>
    <t>SAMS, Microsoft Office, Contract management software</t>
  </si>
  <si>
    <t>Global Clinical Trial Manager II or Senior Hungary</t>
  </si>
  <si>
    <t>Lead site management and monitoring; ensure patient safety, regulatory compliance, and data integrity; manage risks, budgets, and timelines; coordinate training and cross-functional collaboration.</t>
  </si>
  <si>
    <t>CTMS, EDC, eDiary, ePROs, Trial Master File, IVRS/IWRS, Dashboards</t>
  </si>
  <si>
    <t>Morrisville or Madhapur or Buenos Aires or Belgrade or Gurgaon or Beijing or Pune or London or Bucharest or Toronto or Warsaw or Amsterdam or Budapest or Munich or Madrid or Las Condes or Adelaide or Dublin or Barcelona or Brussels or Lisbon or Taipei City or Vienna or Bogota or Miami or Prague or Tokyo or Bridgewater or Riyadh or Zurich or New York or Paris or Shanghai or Yerevan or Zurich or Montreal or Osaka or Stockholm or Zagreb</t>
  </si>
  <si>
    <t>Syneos Health: Clinical trial and commercial solutions for biopharmaceutical companies.</t>
  </si>
  <si>
    <t>Experience or interest in clinical research and project coordination; familiarity with clinical trial processes is a plus.</t>
  </si>
  <si>
    <t>Senior Mapping Specialist Cardiac Ablation</t>
  </si>
  <si>
    <t>Medtronic</t>
  </si>
  <si>
    <t>MedtronicNYSE: MDT: Develops and manufactures medical devices and healthcare technologies.</t>
  </si>
  <si>
    <t>5+ YOE5+ years clinical electrophysiology experience; electrical/medical engineering degree; English and Hungarian; able to travel.</t>
  </si>
  <si>
    <t>Electrophysiology Mapping System, Medical Imaging Software, EP Equipment</t>
  </si>
  <si>
    <t>Dutch speaking Pharmacovigilance QC Associate</t>
  </si>
  <si>
    <t>CognizantNASDAQ: CTSH: Provides IT consulting, software engineering, and business process services.</t>
  </si>
  <si>
    <t>1+ YOE1 year pharmacovigilance or related clinical experience; excellent Dutch and English proficiency; related life science background.</t>
  </si>
  <si>
    <t>Argus, AE forms, Safety database</t>
  </si>
  <si>
    <t>Statistical Programmer II (FSP) - Hungary</t>
  </si>
  <si>
    <t>3+ YOEBachelor’s degree in statistics or related field; 3+ years SAS programming in clinical research; CDISC; English communication</t>
  </si>
  <si>
    <t>SAS, SAS Base, SAS/STAT, SAS/GRAPH, SAS Macros, CDISC</t>
  </si>
  <si>
    <t>Business Development Manager</t>
  </si>
  <si>
    <t>VALD</t>
  </si>
  <si>
    <t>VALD: Provides human measurement technology for health and performance professionals.</t>
  </si>
  <si>
    <t>Experience in clinical/allied health settings; strong communication; CRM experience; willingness to travel; Hungarian and English proficiency.</t>
  </si>
  <si>
    <t>CRM, Microsoft Office 365</t>
  </si>
  <si>
    <t>Consulting Psychologist/Neurologist/Psychiatrist - Hungarian Fluency</t>
  </si>
  <si>
    <t>Cogstate</t>
  </si>
  <si>
    <t>CogstateASX: CGS: Advances brain health measurement through digital cognitive assessments.</t>
  </si>
  <si>
    <t>2+ YOEHungarian fluency; experience administering MADRS with SIGMA; master’s or doctorate in psychology/neuropsychology; 2+ years in clinical research; remote work capability.</t>
  </si>
  <si>
    <t>MS Office, Zoom, Skype, Cloud storage</t>
  </si>
  <si>
    <t>MedtronicNYSE: MDT: Manufactures and sells medical devices and healthcare technology products.</t>
  </si>
  <si>
    <t>5+ YOEOver 5 years in clinical electrophysiology; engineering degree in electrical/medical engineering; fluent in English and Hungarian; willingness to travel; experience with mapping procedures.</t>
  </si>
  <si>
    <t>electrophysiology mapping system, ablation system, generators, software, pumps</t>
  </si>
  <si>
    <t>Orvosszakértő (Budapest, HU, 1134)</t>
  </si>
  <si>
    <t>Servier: Develops and manufactures pharmaceutical treatments for cardiology and oncology.</t>
  </si>
  <si>
    <t>2+ YOEMedical degree; English proficiency minimum B2; clinical or pharmaceutical industry experience; ability to work partly remote; strong documentation and communication skills.</t>
  </si>
  <si>
    <t>Regulatory Specialist Diagnostics</t>
  </si>
  <si>
    <t>0+ YOE0-5 years in Regulatory, R&amp;D, Quality, Operations or Clinical; English fluent; German a plus; Bachelor's/Master's or equivalent; able to work autonomously.</t>
  </si>
  <si>
    <t>Regulatory Information Management System, PMA, 510(k)</t>
  </si>
  <si>
    <t>Senior Site Manager</t>
  </si>
  <si>
    <t>Johnson &amp; Johnson</t>
  </si>
  <si>
    <t>Johnson &amp; JohnsonNYSE: JNJ: Develops and manufactures innovative pharmaceuticals and medical devices.</t>
  </si>
  <si>
    <t>2+ YOEBA/BS in life sciences or related field; 2+ years clinical trial monitoring; strong GCP knowledge; willingness to travel; English and local language proficiency.</t>
  </si>
  <si>
    <t>GCP, SOP, Clinical Trial Management System</t>
  </si>
  <si>
    <t>Remote EU Doctor - Contractor</t>
  </si>
  <si>
    <t>Ireland or Hungary or Bulgaria</t>
  </si>
  <si>
    <t>Skin + Me</t>
  </si>
  <si>
    <t>Skin + Me: Customized prescription skincare treatments delivered to your home.</t>
  </si>
  <si>
    <t>Licensed doctors in the EU fluent in English and German; valid EU medical licence; right to work in living country; remote cross-border care; autonomous clinical decisions.</t>
  </si>
  <si>
    <t>P10 / Autizmus specifikus fejlesztő / Részmunkaidő</t>
  </si>
  <si>
    <t>Budapest School</t>
  </si>
  <si>
    <t>Budapest School: Network of personalized micro-schools for primary and secondary education.</t>
  </si>
  <si>
    <t>2+ YOEPart-time autism-specific development role requiring several years of experience with autistic children; clinical or educational therapy background; strong communication with families; collaboration with school mentor team.</t>
  </si>
  <si>
    <t>Senior Statistical Programmer (FSP) - HUNGARY</t>
  </si>
  <si>
    <t>Parexel: Provides clinical research and regulatory services to biopharmaceutical companies.</t>
  </si>
  <si>
    <t>5+ YOEBachelor's degree in statistics/biostatistics/math/computer science or life sciences; proficiency in SAS; minimum 5 years clinical/statistical programming experience; knowledge of CDISC standards; strong data handling and reporting skills.</t>
  </si>
  <si>
    <t>SAS, MS Office, XML, Pinnacle 21</t>
  </si>
  <si>
    <t>Keyword - "Statistic", No filters, 6 months, Budapest (Remote, hybrid, onsite)</t>
  </si>
  <si>
    <t>Quantitative Modelling Specialist in Financial Planning and Analysis</t>
  </si>
  <si>
    <t>Morgan StanleyNYSE: MS: Provides global investment banking and wealth management services.</t>
  </si>
  <si>
    <t>Master's degree in Economics, Math/Statistics or related field; strong statistical modelling/econometrics; proficiency in R or Python and SQL; strong analytical/problem-solving; ability to manage end-to-end processes; English proficiency; Excel/PowerPoint/Word knowledge.</t>
  </si>
  <si>
    <t>R, Python, SQL, Microsoft Excel, PowerPoint, Word</t>
  </si>
  <si>
    <t>Machine Learning Engineer (Törökbálint, HU, 2045)</t>
  </si>
  <si>
    <t>Strong Python, ML libraries, statistics, model evaluation, MLOps, visualization; English and Hungarian proficiency.</t>
  </si>
  <si>
    <t>Python, ML libraries, BI/visualization tools, containerization, APIs, MLOps</t>
  </si>
  <si>
    <t>Ruby Labs: Develops and operates consumer-facing mobile software applications and platforms.</t>
  </si>
  <si>
    <t>6mo</t>
  </si>
  <si>
    <t>Hitelkockázati modellező / Credit Risk Modeler - Data scientist (Budapest, HU, 1131)</t>
  </si>
  <si>
    <t>3+ YOE2-3 years in credit risk modeling; strong statistics; Python and SQL; English proficiency; good problem solving and communication.</t>
  </si>
  <si>
    <t>Python, SQL, Statistics</t>
  </si>
  <si>
    <t>AI and Data Science Specialist Expert (Budapest, HU)</t>
  </si>
  <si>
    <t>VodafoneLondon Stock Exchange: VOD: Provides mobile network, broadband, and digital television services.</t>
  </si>
  <si>
    <t>Experience building ML models, Python, LLMs, RAG pipelines, data engineering, production APIs; fluent in English; degree in CS/Data Science/Statistics/Math.</t>
  </si>
  <si>
    <t>Python, RAG, LLMs, AI Agents, Git, Spark, AWS</t>
  </si>
  <si>
    <t>Arvato</t>
  </si>
  <si>
    <t>Arvato: Provides global supply chain, IT, and financial services.</t>
  </si>
  <si>
    <t>Principal Biostatistician (Rshiny - EMEA BASED)</t>
  </si>
  <si>
    <t>United Kingdom or Belgium or Hungary or Spain or Ireland or Greece or Romania or Netherlands or Poland</t>
  </si>
  <si>
    <t>2+ YOEPhD or MS in biostatistics/statistics/mathematics or data science; at least 2 years as a statistician in pharma/biotech; expert R and R-Shiny; strong programming in functional/Object-oriented style; English fluency; able to work independently and in teams.</t>
  </si>
  <si>
    <t>R, R-Shiny, SAS, JavaScript, TypeScript, HTML, WebGL, CUDA, GPU computing, Cloud computing, GitHub</t>
  </si>
  <si>
    <t>BI Adatelemző (Budapest, HU, 1013)</t>
  </si>
  <si>
    <t>3+ YOE3-5 years of relevant experience; bachelor's or higher degree in IT/statistics/economics/mathematics; at least intermediate English; strong SQL; knowledge of Power BI/Looker/Report Builder; experience with Oracle or Google Cloud Platform; accurate, proactive, team player; knowledge of Qlik Sense or SAP BO is a plus.</t>
  </si>
  <si>
    <t>SQL, Power BI, Report Builder, Looker, Oracle, Google Cloud Platform, Qlik Sense, SAP Business Objects</t>
  </si>
  <si>
    <t>Keyword - "Biostatistic", No filters, 6 months, Budapest (Remote, hybrid, onsite)</t>
  </si>
  <si>
    <t>Global R&amp;D Lead Controller (Budapest, HU)</t>
  </si>
  <si>
    <t>12+ YOE5+ MgmtExtensive experience in budgeting, management reporting, and financial controlling in a multinational; leadership experience; fluent English and Hungarian.</t>
  </si>
  <si>
    <t>SAP S4, IFRS, HAS, Consolidation, Budgeting and Reporting tools</t>
  </si>
  <si>
    <t>Keyword - "R", No filters, 6 months, Budapest (Remote, hybrid, onsite)</t>
  </si>
  <si>
    <t>Qube Research &amp; Technologies</t>
  </si>
  <si>
    <t>Qube Research &amp; Technologies: Global quantitative investment manager deploying systematic trading strategies.</t>
  </si>
  <si>
    <t>Advanced degree in a quantitative field; strong stats/ML knowledge; coding in Python/R/Matlab/C++/C#; experience handling large datasets; autonomous, detail-oriented, good communicator; proven systematic strategies.</t>
  </si>
  <si>
    <t>Python, R, Matlab, C++, C#, NLP</t>
  </si>
  <si>
    <t>German Speaking IM&amp;S R&amp;F Operational Buyer (Budapest, HU, H-1138)</t>
  </si>
  <si>
    <t>1+ YOEEnglish and German fluency; college degree; 1-3 years procurement or customer service experience; SAP SRM, FI, PM, MM knowledge; procurement tools; data entry and reporting experience.</t>
  </si>
  <si>
    <t>SAP, SRM, FI, PM, MM, Procurement tools, Service management tool</t>
  </si>
  <si>
    <t>Kielo Research: Conducts patient-centered research for the pharmaceutical and medical device industries.</t>
  </si>
  <si>
    <t>Iron MountainNYSE: IRM: Provides storage and information management services for business assets.</t>
  </si>
  <si>
    <t>Quant-Valuation Model Review (Various seniority levels)</t>
  </si>
  <si>
    <t>Proficiency in Python, C++, and R; knowledge of finance, derivatives, and asset pricing; ability to explain complex concepts; strong problem-solving skills.</t>
  </si>
  <si>
    <t>Python, C++, R</t>
  </si>
  <si>
    <t>Tax Technology Intern</t>
  </si>
  <si>
    <t>INNIO: Provides gas engines and distributed power generation solutions.</t>
  </si>
  <si>
    <t>Ongoing university study in data science/analytics; English fluency; problem solving; data analysis with Excel/Tableau; Python or R experience.</t>
  </si>
  <si>
    <t>Excel, Tableau, Python, R</t>
  </si>
  <si>
    <t>MastercardNYSE: MA: Global payment technology providing transaction processing services.</t>
  </si>
  <si>
    <t>Data Analytics Business Consultant</t>
  </si>
  <si>
    <t>3+ YOE3+ years in consulting/data analytics; Bachelor's (Master's a plus); fluent Hungarian and English; experience with Power BI/Tableau; SQL/Python/R a plus; based at MOL Campus, Budapest.</t>
  </si>
  <si>
    <t>Power BI, Tableau, SQL, Python, R</t>
  </si>
  <si>
    <t>Medical Manager Oncology</t>
  </si>
  <si>
    <t>AbbVieNYSE: ABBV: Discovers and manufactures biopharmaceutical products for various diseases.</t>
  </si>
  <si>
    <t>Medical degree or Bachelor’s in science; English proficiency; travel up to 50%; driver’s license; leadership experience in medical/scientific team; knowledge of drug development and regulatory environment.</t>
  </si>
  <si>
    <t>Morrisville or Madhapur or Buenos Aires or Belgrade or Gurgaon or London or Pune or Beijing or Toronto or Warsaw or Madrid or Tlalnepantla or Bucharest or Budapest or Barcelona or Amsterdam or Munich or Dublin or Brussels or Las Condes or Sofia or Taipei City or Bogota or Lisboa or Milano or Seoul or Vienna or Riyadh or Wuhan or Zurich or New York</t>
  </si>
  <si>
    <t>No specific qualifications provided in posting.</t>
  </si>
  <si>
    <t>Laboráns gyakornok (Budapest, HU, 1165)</t>
  </si>
  <si>
    <t>0+ YOEStudent in higher education; available for 25-30 hours/week; willing to stay at least 1 year; interest in lab work and GMP analytical tests.</t>
  </si>
  <si>
    <t>Analytical instruments, UV-VIS spectroscopy</t>
  </si>
  <si>
    <t>Senior Director, Medical Strategy Lead- Cardiologist</t>
  </si>
  <si>
    <t>Reading or Vienna or Kyiv or Amsterdam or Budapest or Dublin or Barcelona or Sofia or Bucuresti or Istanbul or Madrid or Lisbon or Brussels or Prague or Bratislava or Copenhagen or Stockholm</t>
  </si>
  <si>
    <t>IQVIA: Provides clinical trials and data analytics for healthcare companies</t>
  </si>
  <si>
    <t>2+ YOEBoard-certified cardiologist with 2+ years clinical research experience; strong GCP/ICH knowledge; leadership in cross-functional medical strategy.</t>
  </si>
  <si>
    <t>BI Analyst - Power BI</t>
  </si>
  <si>
    <t>Bachelor’s degree preferred; experience with Power BI; knowledge of API, Databricks, DevOps, Python, or SQL a plus.</t>
  </si>
  <si>
    <t>Power BI, API, Databricks, DevOps, Python, SQL</t>
  </si>
  <si>
    <t>Keyword - "Power BI", No filters, 6 months, Budapest (Remote, hybrid, onsite)</t>
  </si>
  <si>
    <t>BI Engineer (Budapest, HU)</t>
  </si>
  <si>
    <t>5+ YOETechnical or engineering IT or business IT degree; 5+ years of relevant experience; MSSQL, TSQL, SSAS/OLAP, Power BI; working proficiency in English.</t>
  </si>
  <si>
    <t>Power BI, MSSQL, TSQL, Microsoft Analysis Services (OLAP)</t>
  </si>
  <si>
    <t>Data Engineer - BI Platform REF5115P</t>
  </si>
  <si>
    <t>Deutsche Telekom IT SolutionsFrankfurt Stock Exchange: DTE: Provides IT and telecommunications services to large enterprise customers.</t>
  </si>
  <si>
    <t>Cloud and BI platform expertise; Azure Data Factory, Databricks, dbt; Power BI; Agile project management; incident management; governance; English proficiency; degree in CS/Engineering/Business Informatics; optional PMP/PRINCE2/SAFe; Scrum Master/Product Owner.</t>
  </si>
  <si>
    <t>Azure Data Factory, Databricks, dbt, Power BI, Power Apps, Power Automate, SharePoint, Jira, Confluence, ServiceNow</t>
  </si>
  <si>
    <t>Data &amp; Business Insights Analyst – Corporate Banking Strategy (Reporting &amp; Automation)</t>
  </si>
  <si>
    <t>UniCreditBorsa Italiana: UCG: A pan-European bank providing retail, corporate, and investment services.</t>
  </si>
  <si>
    <t>3+ YOEExperience in data analytics, reporting, automation; strong BI (Power BI, SAS BI); SQL; Python; knowledge of AI/ML advantageous; English communication.</t>
  </si>
  <si>
    <t>Power BI, SAS BI, SQL, Python, Power Automate, Excel, BI Tools</t>
  </si>
  <si>
    <t>Staff Analytics Product Manager - Sustainability &amp; EHS</t>
  </si>
  <si>
    <t>7+ YOEBachelor’s degree; 7+ years in data management/analytics; leadership across product functions; experience with AI/ML/GenAI; BI tools (Power BI, Tableau).</t>
  </si>
  <si>
    <t>EV Data and Reporting Analyst</t>
  </si>
  <si>
    <t>BP</t>
  </si>
  <si>
    <t>BPLondon Stock Exchange: BP: Produces and distributes oil, gas, and low-carbon energy solutions</t>
  </si>
  <si>
    <t>3+ YOEExperience in data/reporting roles; Power BI, DAX, SQL, Power Query M; data modeling; English fluency; university degree in Engineering/Management/Data Analytics.</t>
  </si>
  <si>
    <t>Power BI, DAX, SQL, Power Query, Python, Star Schema, Snowflake</t>
  </si>
  <si>
    <t>Data and Analytics intern in Controlling area</t>
  </si>
  <si>
    <t>Bosch Group</t>
  </si>
  <si>
    <t>Bosch Group: Global manufacturer of automotive parts and industrial technology products.</t>
  </si>
  <si>
    <t>0+ YOEInternship requiring SQL, BI, VBA, database management, Power BI; 30h/week min 12 months; enrolled in CS/IT/Economics; Excel, Python, Scrum/Jira knowledge.</t>
  </si>
  <si>
    <t>SQL, Power BI, VBA, MS SQL, Python, Jira, Scrum, Excel</t>
  </si>
  <si>
    <t>Operations Reliability Engineer – Enterprise Platforms and Tools</t>
  </si>
  <si>
    <t>Budapest or Szeged</t>
  </si>
  <si>
    <t>3+ YOEBachelor’s degree in IT or related field; 3+ years enterprise SaaS/IT operations; hands-on admin of enterprise tools (Atlassian, Microsoft Power Platform, collaboration tools); Power Apps/Power Automate/Power BI admin knowledge; familiarity with SaaS dashboards, incident management, and ITSM.</t>
  </si>
  <si>
    <t>Atlassian, Microsoft Power Platform, Power Apps, Power Automate, Power BI, SaaS dashboards, ITSM tools</t>
  </si>
  <si>
    <t>Senior Financial Planning Specialist (Budapest, Pest, HU, 1112)</t>
  </si>
  <si>
    <t>ALDI SÜD</t>
  </si>
  <si>
    <t>ALDI SÜD: Global discount supermarket chain selling groceries and household goods.</t>
  </si>
  <si>
    <t>Senior financial planning specialist with budgeting, IT controlling, data analysis, and reporting. Proficient in Excel, Power BI, Power Query; IFRS experience preferred; English fluency; SAP or Apptio knowledge.</t>
  </si>
  <si>
    <t>Excel, Power BI, Power Query, SAP, Apptio, MS Office</t>
  </si>
  <si>
    <t>Indirect Sourcing Category Analyst</t>
  </si>
  <si>
    <t>GE HealthCareNasdaq: GEHC: Provides medical imaging, diagnostics, and digital healthcare solutions.</t>
  </si>
  <si>
    <t>Bachelor's degree in related field; strong communication, analytical skills; Proficient in Excel and Power BI; travel up to 10%.</t>
  </si>
  <si>
    <t>Microsoft Excel, Power BI, PowerPoint</t>
  </si>
  <si>
    <t>Group Performance and Cost optimization business partner</t>
  </si>
  <si>
    <t>2+ YOEFinance/economics/business degree; 2-4 years in financial controlling, reporting or business analysis; English proficiency; advanced Excel/Office 365; Power BI/Power Query/SQL a plus</t>
  </si>
  <si>
    <t>Excel, Power BI, Power Query, SQL, PowerPoint, Office 365</t>
  </si>
  <si>
    <t>Godollo, Budapest, Hungary</t>
  </si>
  <si>
    <t>CaterpillarNYSE: CAT: Manufactures heavy machinery, engines, and industrial equipment.</t>
  </si>
  <si>
    <t>1+ YOE1-2 years in finance/accounting; strong Excel, VBA, Power BI; analytical and problem-solving skills; English proficiency.</t>
  </si>
  <si>
    <t>Excel, VBA, Power BI, Office</t>
  </si>
  <si>
    <t>Terminplaner und Projektsteuerer</t>
  </si>
  <si>
    <t>Accenture</t>
  </si>
  <si>
    <t>AccentureNYSE: ACN: Provides professional services and digital transformation to global enterprises.</t>
  </si>
  <si>
    <t>Experience in project planning/management; knowledge of Primavera/MS Project; SQL/XML/Power BI; German and English proficiency; travel willingness.</t>
  </si>
  <si>
    <t>Primavera, MS Project, SQL, XML, Power BI</t>
  </si>
  <si>
    <t>IT Application Specialist / Senior IT Application Specialist</t>
  </si>
  <si>
    <t>SAP FI experience, finance processes knowledge, ERP familiarity, strong analytics, Excel, Power BI, English proficiency, stakeholder management.</t>
  </si>
  <si>
    <t>SAP FI, MSSQL, Power BI, Excel</t>
  </si>
  <si>
    <t>Reporting &amp; Support Specialist (with German)</t>
  </si>
  <si>
    <t>3+ YOEFluent English and German; 3+ years in admin/reporting/data analytics; Power BI proficiency; FMCG/retail/partnership experience preferred.</t>
  </si>
  <si>
    <t>Power BI, Microsoft Office</t>
  </si>
  <si>
    <t>Order Processing Specialist in Controlling (Érd, HU)</t>
  </si>
  <si>
    <t>Érd, Budapest, Hungary</t>
  </si>
  <si>
    <t>AVL</t>
  </si>
  <si>
    <t>AVL: Provides development, simulation and testing tools for mobility systems.</t>
  </si>
  <si>
    <t>High school completed; Hungarian and English proficiency; Power BI and SAP knowledge; willingness to travel to Graz (3-4 times per year).</t>
  </si>
  <si>
    <t>Power BI, SAP</t>
  </si>
  <si>
    <t>Contract and Invoice Specialist - Polish speaking</t>
  </si>
  <si>
    <t>Fluent in English and Polish; strong numerical and analytical skills; SAP knowledge; experience with shared service centers; Salesforce and Power BI experience a plus.</t>
  </si>
  <si>
    <t>SAP, Salesforce, Power BI</t>
  </si>
  <si>
    <t>Junior Network Supply Planner (m/f)</t>
  </si>
  <si>
    <t>0+ YOEBachelor degree in business or engineering; 0-1 years in supply planning; Power BI; fluent English; strong analytical and Excel (VBA is a plus).</t>
  </si>
  <si>
    <t>Power BI, Excel, VBA</t>
  </si>
  <si>
    <t>Financial Reporting SME (Budapest, HU, 1095)</t>
  </si>
  <si>
    <t>Finance reporting expert with Excel, VBA, Power BI, SAP, and automation experience; O2C/P2P SSC processes; strong analytics and stakeholder communication.</t>
  </si>
  <si>
    <t>Excel, VBA, Power BI, SharePoint, SAP, Power Automate</t>
  </si>
  <si>
    <t>Commercial Business Controller (Budapest, HU, 1095)</t>
  </si>
  <si>
    <t>Fressnapf | Maxi Zoo</t>
  </si>
  <si>
    <t>Fressnapf | Maxi Zoo: Europe's leading retailer for pet food and supplies.</t>
  </si>
  <si>
    <t>3+ YOE3-5 years in FMCG/retail, track record of strategic initiatives, strong Excel and Power BI, English fluency, openness to new ways of working.</t>
  </si>
  <si>
    <t>XylemNYSE: XYL: Developing technology solutions for global water and infrastructure challenges</t>
  </si>
  <si>
    <t>Senior FP&amp;A Analyst</t>
  </si>
  <si>
    <t>Greif</t>
  </si>
  <si>
    <t>GreifNew York Stock Exchange: GEF: Produces and sells industrial packaging products and services globally.</t>
  </si>
  <si>
    <t>5+ YOEBachelor’s in Finance, Accounting, or Economics; 5-8 years FP&amp;A/finance experience; advanced Excel; Power BI/Oracle; MBA/CFA/CPA preferred.</t>
  </si>
  <si>
    <t>Excel, Power BI, Oracle</t>
  </si>
  <si>
    <t>Performance &amp; Data Analytics Engineer</t>
  </si>
  <si>
    <t>4+ YOE4+ years in data analysis, performance engineering, automation; SQL, Snowflake, Power BI, Grafana, Tableau, PowerShell; CS background; strong analytics and communication.</t>
  </si>
  <si>
    <t>Power BI, Grafana, Tableau, PowerShell, SQL, Snowflake, Excel Macros, SQL Server, Perfmon, Windows Desktop, VMware</t>
  </si>
  <si>
    <t>Senior Ancillary Products Manager (Budapest, HU, H-1095)</t>
  </si>
  <si>
    <t>5+ YOE4+ Mgmt5-7+ years experience; 4+ years in a multinational environment; aviation experience preferred; strong analytics; Excel/Power BI; leadership of product portfolio team.</t>
  </si>
  <si>
    <t>Excel, PowerPoint, Power BI</t>
  </si>
  <si>
    <t>Accounting &amp; Reporting Accountant</t>
  </si>
  <si>
    <t>2+ YOE2–3 years accounting experience; US GAAP knowledge; SOX compliance; multinational environment; SAP; Power BI/Blackline/OneSource a plus; English fluency.</t>
  </si>
  <si>
    <t>SAP, Power BI, Blackline, OneSource</t>
  </si>
  <si>
    <t>Supplier Operations Specialist</t>
  </si>
  <si>
    <t>3+ YOEBachelor’s degree in related field; 3+ years in supplier operations/procurement; IT procurement, vendor management, Jira, Power BI; strong English; able to work hybrid.</t>
  </si>
  <si>
    <t>Jira, Power BI, Atlassian Jira</t>
  </si>
  <si>
    <t>CelaneseNYSE: CE: Manufactures chemicals and high-performance materials for global industries.</t>
  </si>
  <si>
    <t>Senior Product Control Analyst</t>
  </si>
  <si>
    <t>MET Group: Integrated European energy trading natural gas and electricity.</t>
  </si>
  <si>
    <t>5+ YOEMinimum 5+ years in Product Control/Risk/Middle Office in trading; strong valuation, P&amp;L, MTM; Endur ETRM experience; SQL/Power BI/Python advantageous.</t>
  </si>
  <si>
    <t>SQL, Power BI, VBA, Python, Endur ETRM</t>
  </si>
  <si>
    <t>Talent Development and Learning Senior Associate (Budapest, HU, 1132)</t>
  </si>
  <si>
    <t>3+ YOE3+ years in learning and development and operations; strong MS Office and Excel; Power BI; AI Copilot usage; fluent English; vendor coordination; facilitation; strong organization and deadlines.</t>
  </si>
  <si>
    <t>Microsoft Excel, Power BI, Microsoft Office, AI Copilot</t>
  </si>
  <si>
    <t>Key Account &amp; CD Excellence Lead Food Solution</t>
  </si>
  <si>
    <t>Ft9600k-Ft12000k/yr</t>
  </si>
  <si>
    <t>UnileverLondon Stock Exchange: ULVR: Manufactures food, home, and personal care products.</t>
  </si>
  <si>
    <t>5+ YOEBachelor’s degree, Hungarian and English fluency, ~5 years commercial &amp; sales experience with key accounts, strong negotiation, data analytics tools (Power BI), CRM, and P&amp;L management.</t>
  </si>
  <si>
    <t>Power BI, CRM</t>
  </si>
  <si>
    <t>Digitális infrastruktúra gyakornok (Budapest, HU, 1131)</t>
  </si>
  <si>
    <t>Pursuing a full-time higher-education degree; comfortable with Linux CLI; Python coding and refactoring; basic manual testing; infrastructure automation (Ansible, vRealize Orchestrator); Excel/Power BI familiarity.</t>
  </si>
  <si>
    <t>Python, Linux, Ansible, vRealize Orchestrator, PowerShell, JavaScript, Power BI, Excel, VMware</t>
  </si>
  <si>
    <t>Performance Management Support - Indirects Procurement</t>
  </si>
  <si>
    <t>5+ YOE5+ years in Consulting, FP&amp;A, Controlling or Performance Management; strong financial modeling and reporting; procurement/supply chain exposure; English fluency; advanced Excel/PowerPoint; experience with Power BI/Tableau/Qlik.</t>
  </si>
  <si>
    <t>Excel, PowerPoint, Power BI, Tableau, Qlik</t>
  </si>
  <si>
    <t>Beko Europe: Sells and manufactures innovative and sustainable home appliances.</t>
  </si>
  <si>
    <t>Finance Business Partner</t>
  </si>
  <si>
    <t>5+ YOE5+ years in finance/accounting in international manufacturing; English proficiency; ERP and planning systems experience (SAP S4/HANA, SAP BPC); advanced MS Excel, Power BI, PowerPoint; travel ~10-15%.</t>
  </si>
  <si>
    <t>SAP S4HANA, SAP BPC, MS Excel, Power BI, PowerPoint</t>
  </si>
  <si>
    <t>Procurement Process Excellence Team Leader</t>
  </si>
  <si>
    <t>Bachelor’s in Business, Supply Chain, Data Analytics, or Information Systems; procurement experience; strong process improvement and project management; Power BI/Tableau/SQL experience; data governance interest; cross-functional coordination skills.</t>
  </si>
  <si>
    <t>Power BI, Tableau, SQL</t>
  </si>
  <si>
    <t>Supply Planning Manager (Budapest, HU)</t>
  </si>
  <si>
    <t>Budapest or Bőcs</t>
  </si>
  <si>
    <t>Molson Coors</t>
  </si>
  <si>
    <t>Molson CoorsNYSE: TAP: Produces and sells a variety of alcoholic and non-alcoholic beverages.</t>
  </si>
  <si>
    <t>3+ YOEBachelor’s in technical sciences or economics; min 3 years in production or demand planning; proficient in MS Office, Excel, Power BI, SAP; fluent in Hungarian and English; strong analytical and communication skills; driving license B.</t>
  </si>
  <si>
    <t>MS Office, Excel, Power BI, SAP</t>
  </si>
  <si>
    <t>Controlling Specialist, Manufacturing (Budapest, Central Hungary (Közép-Magyarország), HU)</t>
  </si>
  <si>
    <t>AGCONYSE: AGCO: Designs and manufactures agricultural machinery and precision farming technology.</t>
  </si>
  <si>
    <t>3+ YOEBachelor’s degree in finance, accounting, business administration, or related field; 3+ years in financial analysis or controlling; SAP/Oracle/ERP/OneStream; advanced Excel; data visualization tools (Power BI, Tableau) helpful; English proficient.</t>
  </si>
  <si>
    <t>SAP, Oracle, ERP, OneStream, Excel, Power BI, Tableau, PowerPoint</t>
  </si>
  <si>
    <t>Mérnök gyakornok (Budapest, HU, 1106)</t>
  </si>
  <si>
    <t>0+ YOEFull-time daytime student under 25, pursuing mechanical/building services/energy engineering; IT affinity; quick to learn; proficient in Excel; good communication; proactive; team player; available at least 3 days/week; Power BI is a plus.</t>
  </si>
  <si>
    <t>Senior IT PM - PAM Pharma</t>
  </si>
  <si>
    <t>Fusion Consulting: Business and IT consulting for the life sciences industry</t>
  </si>
  <si>
    <t>10+ YOE10+ years IT project management focusing on security and access management; PMP and ITIL; PAM tools; pharmaceutical/healthcare regulatory knowledge; English fluency.</t>
  </si>
  <si>
    <t>Microsoft Project, Jira</t>
  </si>
  <si>
    <t>Keyword - "Pharma", No filters, 6 months, Budapest (Remote, hybrid, onsite)</t>
  </si>
  <si>
    <t>Head of Manufacturing &amp; Supply Services European Hubs</t>
  </si>
  <si>
    <t>15+ YOE10+ Mgmt15-20 years in pharma with 10+ in leadership; strong leadership; budgeting and audits; English proficiency.</t>
  </si>
  <si>
    <t>Product Manager – CVRM– (Budapest)</t>
  </si>
  <si>
    <t>Experienced product manager in pharma with cross-functional leadership; strong communication; fluent in English and Hungarian.</t>
  </si>
  <si>
    <t>Morrisville or Madhapur or Buenos Aires or Belgrade or Gurgaon or Beijing or Pune or London or Toronto or Warsaw or Amsterdam or Budapest or Munich or Madrid or Vienna or Dublin or Barcelona or Brussels or Lisboa or Taipei City or Prague or Riyadh or Zurich or New York or Paris or Shanghai or Tbilisi or Yerevan</t>
  </si>
  <si>
    <t>Experience in project management for technology-driven clinical/pharma programs; strong coordination and stakeholder management skills.</t>
  </si>
  <si>
    <t>Key Account Manager Hematology – Eastern Hungary</t>
  </si>
  <si>
    <t>0+ YOEUniversity degree; English preferred; proven sales success in pharma; strong communication; matrix environment proficiency.</t>
  </si>
  <si>
    <t>Medical Sales Representative Budapest V. VI. VII. VIII. XIII. XIV. districts</t>
  </si>
  <si>
    <t>1+ YOEMinimum 1 year in sales in Healthcare/Pharma; Life science degree required; Hungarian language proficiency; English advantageous.</t>
  </si>
  <si>
    <t>Hatóanyaggyártó (Budapest, HU, 1106)</t>
  </si>
  <si>
    <t>Secondary-level chemical technician qualification; three-shift work; precise, reliable performance; pharma/chemical industry experience preferred.</t>
  </si>
  <si>
    <t>QC Analitika Csoportvezető</t>
  </si>
  <si>
    <t>3+ YOEMasters degree in a pharmaceutical/science field; 3-5 years in pharma manufacturing or quality control; intermediate English; knowledge of QA principles.</t>
  </si>
  <si>
    <t>Laboratory equipment, Quality assurance systems, GMP compliance</t>
  </si>
  <si>
    <t>Field Medical Advisor (m/f/x)</t>
  </si>
  <si>
    <t>CSL</t>
  </si>
  <si>
    <t>CSLASX: CSL: Develops biotherapies and vaccines for rare and serious diseases.</t>
  </si>
  <si>
    <t>3+ YOE3–5 years pharma/biopharma experience; advanced scientific degree preferred; MSL experience preferred; field-based role in Hungary.</t>
  </si>
  <si>
    <t>Customer Performance Manager</t>
  </si>
  <si>
    <t>5+ YOEMinimum 5 years in Revenue Management in pharma; degree in econometrics, economics or engineering; fluent in English and Hungarian; strong analytical and Excel skills.</t>
  </si>
  <si>
    <t>Start Up Lead</t>
  </si>
  <si>
    <t>United Kingdom or Hungary or Serbia or Romania or Slovakia or Poland or Germany</t>
  </si>
  <si>
    <t>Precision Medicine Group: Integrated drug development and healthcare commercialization services provider.</t>
  </si>
  <si>
    <t>5+ YOEBachelor's in life sciences or RN; 5+ years startup/PM in CRO/pharma; 2+ years milestone management; leadership and English proficiency.</t>
  </si>
  <si>
    <t>Milestone tracking tools, Microsoft Excel, Electronic mail, Word processing, Project management software</t>
  </si>
  <si>
    <t>Equipment and Supply System Team Leader</t>
  </si>
  <si>
    <t>5+ YOE3+ Mgmt5+ years in pharma with QA/validation/qualification; GMP knowledge; leadership; English business level; strong communication and problem-solving; precision and change management.</t>
  </si>
  <si>
    <t>GMP, QA systems, validation</t>
  </si>
  <si>
    <t>Key Account Manager RD&amp;Epilepsy Hungary (Budapest, Budapest, HU)</t>
  </si>
  <si>
    <t>UCB</t>
  </si>
  <si>
    <t>UCBEuronext Brussels: UCB: Develops and delivers medicines for neurology and immunology patients.</t>
  </si>
  <si>
    <t>Bachelor’s or Master’s in science, pharmacy, medical, economics; pharma experience in neurology/CNS; drug programs and rare diseases experience; strong account management; Hungarian and English languages.</t>
  </si>
  <si>
    <t>CRM software, Omni-channel tools</t>
  </si>
  <si>
    <t>National Sales Manager Fertility &amp; CME (Budapest, Budapest, HU, 1117)</t>
  </si>
  <si>
    <t>Merck KGaA</t>
  </si>
  <si>
    <t>Merck KGaAXETRA: MRK: Developing solutions for healthcare, life science, and electronics sectors.</t>
  </si>
  <si>
    <t>3+ YOE3+ MgmtLead sales force, manage KAMs and REPs; native Hungarian, fluent English; life sciences degree; min 3 years sales management in pharma; driving license; strong leadership and cross-functional skills.</t>
  </si>
  <si>
    <t>Column column</t>
  </si>
  <si>
    <t>Data column</t>
  </si>
  <si>
    <t>Quality check</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</si>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</sst>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6">
    <font>
      <sz val="10.0"/>
      <color rgb="FF000000"/>
      <name val="Arial"/>
      <scheme val="minor"/>
    </font>
    <font>
      <b/>
      <sz val="11.0"/>
      <color rgb="FF000000"/>
      <name val="&quot;Aptos Narrow&quot;"/>
    </font>
    <font>
      <b/>
      <color theme="1"/>
      <name val="Arial"/>
      <scheme val="minor"/>
    </font>
    <font>
      <sz val="11.0"/>
      <color rgb="FF000000"/>
      <name val="&quot;Aptos Narrow&quot;"/>
    </font>
    <font>
      <color theme="1"/>
      <name val="Arial"/>
      <scheme val="minor"/>
    </font>
    <font>
      <sz val="11.0"/>
      <color rgb="FF000000"/>
      <name val="Arial"/>
    </font>
  </fonts>
  <fills count="5">
    <fill>
      <patternFill patternType="none"/>
    </fill>
    <fill>
      <patternFill patternType="lightGray"/>
    </fill>
    <fill>
      <patternFill patternType="solid">
        <fgColor rgb="FFFFE599"/>
        <bgColor rgb="FFFFE599"/>
      </patternFill>
    </fill>
    <fill>
      <patternFill patternType="solid">
        <fgColor rgb="FFFFFF00"/>
        <bgColor rgb="FFFFFF00"/>
      </patternFill>
    </fill>
    <fill>
      <patternFill patternType="solid">
        <fgColor theme="0"/>
        <bgColor theme="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1" numFmtId="164" xfId="0" applyAlignment="1" applyFont="1" applyNumberFormat="1">
      <alignment readingOrder="0" shrinkToFit="0" vertical="bottom" wrapText="0"/>
    </xf>
    <xf borderId="0" fillId="2" fontId="2" numFmtId="0" xfId="0" applyAlignment="1" applyFont="1">
      <alignment readingOrder="0"/>
    </xf>
    <xf borderId="0" fillId="0" fontId="3" numFmtId="0" xfId="0" applyAlignment="1" applyFont="1">
      <alignment readingOrder="0" vertical="bottom"/>
    </xf>
    <xf borderId="0" fillId="0" fontId="4" numFmtId="164" xfId="0" applyAlignment="1" applyFont="1" applyNumberFormat="1">
      <alignment readingOrder="0"/>
    </xf>
    <xf borderId="0" fillId="0" fontId="5" numFmtId="0" xfId="0" applyAlignment="1" applyFont="1">
      <alignment readingOrder="0" shrinkToFit="0" vertical="bottom" wrapText="0"/>
    </xf>
    <xf borderId="0" fillId="0" fontId="4" numFmtId="164" xfId="0" applyFont="1" applyNumberFormat="1"/>
    <xf borderId="0" fillId="0" fontId="3"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4" numFmtId="0" xfId="0" applyFont="1"/>
    <xf borderId="0" fillId="0" fontId="4" numFmtId="0" xfId="0" applyAlignment="1" applyFont="1">
      <alignment readingOrder="0"/>
    </xf>
    <xf borderId="0" fillId="0" fontId="4" numFmtId="14" xfId="0" applyAlignment="1" applyFont="1" applyNumberFormat="1">
      <alignment readingOrder="0"/>
    </xf>
    <xf borderId="0" fillId="0" fontId="4" numFmtId="164" xfId="0" applyFont="1" applyNumberFormat="1"/>
    <xf borderId="0" fillId="0" fontId="3" numFmtId="0" xfId="0" applyAlignment="1" applyFont="1">
      <alignment shrinkToFit="0" vertical="bottom" wrapText="0"/>
    </xf>
    <xf borderId="0" fillId="3" fontId="3" numFmtId="0" xfId="0" applyAlignment="1" applyFill="1" applyFont="1">
      <alignment readingOrder="0" shrinkToFit="0" vertical="bottom" wrapText="0"/>
    </xf>
    <xf borderId="0" fillId="0" fontId="5" numFmtId="0" xfId="0" applyAlignment="1" applyFont="1">
      <alignment readingOrder="0" vertical="bottom"/>
    </xf>
    <xf borderId="0" fillId="4" fontId="4" numFmtId="0" xfId="0" applyFill="1" applyFont="1"/>
    <xf borderId="0" fillId="4" fontId="3" numFmtId="0" xfId="0" applyAlignment="1" applyFont="1">
      <alignment readingOrder="0" shrinkToFit="0" vertical="bottom"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4.25"/>
    <col customWidth="1" min="13" max="13" width="22.63"/>
  </cols>
  <sheetData>
    <row r="1">
      <c r="A1" s="1" t="s">
        <v>0</v>
      </c>
      <c r="B1" s="1" t="s">
        <v>1</v>
      </c>
      <c r="C1" s="1" t="s">
        <v>2</v>
      </c>
      <c r="D1" s="1" t="s">
        <v>3</v>
      </c>
      <c r="E1" s="1" t="s">
        <v>4</v>
      </c>
      <c r="F1" s="1" t="s">
        <v>5</v>
      </c>
      <c r="G1" s="1" t="s">
        <v>6</v>
      </c>
      <c r="H1" s="1" t="s">
        <v>7</v>
      </c>
      <c r="I1" s="1" t="s">
        <v>8</v>
      </c>
      <c r="J1" s="1" t="s">
        <v>9</v>
      </c>
      <c r="K1" s="2" t="s">
        <v>10</v>
      </c>
      <c r="L1" s="1" t="s">
        <v>11</v>
      </c>
      <c r="M1" s="3" t="s">
        <v>12</v>
      </c>
    </row>
    <row r="2">
      <c r="A2" s="4" t="s">
        <v>13</v>
      </c>
      <c r="B2" s="4" t="s">
        <v>14</v>
      </c>
      <c r="C2" s="4" t="s">
        <v>15</v>
      </c>
      <c r="D2" s="4" t="s">
        <v>16</v>
      </c>
      <c r="E2" s="4" t="s">
        <v>17</v>
      </c>
      <c r="F2" s="4" t="s">
        <v>18</v>
      </c>
      <c r="G2" s="4" t="s">
        <v>19</v>
      </c>
      <c r="H2" s="4" t="s">
        <v>20</v>
      </c>
      <c r="I2" s="4" t="s">
        <v>21</v>
      </c>
      <c r="J2" s="4" t="s">
        <v>9</v>
      </c>
      <c r="K2" s="5">
        <v>46083.0</v>
      </c>
      <c r="L2" s="6" t="s">
        <v>22</v>
      </c>
      <c r="M2" s="7" t="str">
        <f>IFERROR(__xludf.DUMMYFUNCTION("TEXT(
  IF(RIGHT(A2,2)=""mo"",
    EDATE(DATEVALUE(K2), -VALUE(REGEXEXTRACT(A2,""\d+""))),
    DATEVALUE(K2) - IF(RIGHT(A2,1)=""h"", VALUE(REGEXEXTRACT(A2,""\d+""))/24,
         IF(RIGHT(A2,1)=""d"", VALUE(REGEXEXTRACT(A2,""\d+"")),
         IF(RIGHT(A2,1"&amp;")=""w"", VALUE(REGEXEXTRACT(A2,""\d+""))*7,
         0)))
  )
, ""YYYY-M-D"")"),"2026-3-1")</f>
        <v>2026-3-1</v>
      </c>
    </row>
    <row r="3">
      <c r="A3" s="4" t="s">
        <v>23</v>
      </c>
      <c r="B3" s="4" t="s">
        <v>24</v>
      </c>
      <c r="C3" s="4" t="s">
        <v>15</v>
      </c>
      <c r="D3" s="4" t="s">
        <v>16</v>
      </c>
      <c r="E3" s="4" t="s">
        <v>17</v>
      </c>
      <c r="F3" s="4" t="s">
        <v>25</v>
      </c>
      <c r="G3" s="4" t="s">
        <v>26</v>
      </c>
      <c r="H3" s="4" t="s">
        <v>27</v>
      </c>
      <c r="I3" s="4" t="s">
        <v>21</v>
      </c>
      <c r="J3" s="4" t="s">
        <v>9</v>
      </c>
      <c r="K3" s="5">
        <v>46083.0</v>
      </c>
      <c r="L3" s="6" t="s">
        <v>22</v>
      </c>
      <c r="M3" s="7" t="str">
        <f>IFERROR(__xludf.DUMMYFUNCTION("TEXT(
  IF(RIGHT(A3,2)=""mo"",
    EDATE(DATEVALUE(K3), -VALUE(REGEXEXTRACT(A3,""\d+""))),
    DATEVALUE(K3) - IF(RIGHT(A3,1)=""h"", VALUE(REGEXEXTRACT(A3,""\d+""))/24,
         IF(RIGHT(A3,1)=""d"", VALUE(REGEXEXTRACT(A3,""\d+"")),
         IF(RIGHT(A3,1"&amp;")=""w"", VALUE(REGEXEXTRACT(A3,""\d+""))*7,
         0)))
  )
, ""YYYY-M-D"")"),"2026-3-1")</f>
        <v>2026-3-1</v>
      </c>
    </row>
    <row r="4">
      <c r="A4" s="4" t="s">
        <v>28</v>
      </c>
      <c r="B4" s="4" t="s">
        <v>29</v>
      </c>
      <c r="C4" s="4" t="s">
        <v>15</v>
      </c>
      <c r="D4" s="4" t="s">
        <v>16</v>
      </c>
      <c r="E4" s="4" t="s">
        <v>30</v>
      </c>
      <c r="F4" s="4" t="s">
        <v>31</v>
      </c>
      <c r="G4" s="4" t="s">
        <v>32</v>
      </c>
      <c r="H4" s="4" t="s">
        <v>33</v>
      </c>
      <c r="I4" s="4" t="s">
        <v>34</v>
      </c>
      <c r="J4" s="4" t="s">
        <v>9</v>
      </c>
      <c r="K4" s="5">
        <v>46083.0</v>
      </c>
      <c r="L4" s="6" t="s">
        <v>22</v>
      </c>
      <c r="M4" s="7" t="str">
        <f>IFERROR(__xludf.DUMMYFUNCTION("TEXT(
  IF(RIGHT(A4,2)=""mo"",
    EDATE(DATEVALUE(K4), -VALUE(REGEXEXTRACT(A4,""\d+""))),
    DATEVALUE(K4) - IF(RIGHT(A4,1)=""h"", VALUE(REGEXEXTRACT(A4,""\d+""))/24,
         IF(RIGHT(A4,1)=""d"", VALUE(REGEXEXTRACT(A4,""\d+"")),
         IF(RIGHT(A4,1"&amp;")=""w"", VALUE(REGEXEXTRACT(A4,""\d+""))*7,
         0)))
  )
, ""YYYY-M-D"")"),"2026-2-28")</f>
        <v>2026-2-28</v>
      </c>
    </row>
    <row r="5">
      <c r="A5" s="4" t="s">
        <v>28</v>
      </c>
      <c r="B5" s="4" t="s">
        <v>35</v>
      </c>
      <c r="C5" s="4" t="s">
        <v>36</v>
      </c>
      <c r="D5" s="4" t="s">
        <v>37</v>
      </c>
      <c r="E5" s="4" t="s">
        <v>17</v>
      </c>
      <c r="F5" s="4" t="s">
        <v>38</v>
      </c>
      <c r="G5" s="4" t="s">
        <v>39</v>
      </c>
      <c r="H5" s="4" t="s">
        <v>40</v>
      </c>
      <c r="I5" s="4" t="s">
        <v>41</v>
      </c>
      <c r="J5" s="4" t="s">
        <v>9</v>
      </c>
      <c r="K5" s="5">
        <v>46083.0</v>
      </c>
      <c r="L5" s="6" t="s">
        <v>22</v>
      </c>
      <c r="M5" s="7" t="str">
        <f>IFERROR(__xludf.DUMMYFUNCTION("TEXT(
  IF(RIGHT(A5,2)=""mo"",
    EDATE(DATEVALUE(K5), -VALUE(REGEXEXTRACT(A5,""\d+""))),
    DATEVALUE(K5) - IF(RIGHT(A5,1)=""h"", VALUE(REGEXEXTRACT(A5,""\d+""))/24,
         IF(RIGHT(A5,1)=""d"", VALUE(REGEXEXTRACT(A5,""\d+"")),
         IF(RIGHT(A5,1"&amp;")=""w"", VALUE(REGEXEXTRACT(A5,""\d+""))*7,
         0)))
  )
, ""YYYY-M-D"")"),"2026-2-28")</f>
        <v>2026-2-28</v>
      </c>
    </row>
    <row r="6">
      <c r="A6" s="4" t="s">
        <v>42</v>
      </c>
      <c r="B6" s="4" t="s">
        <v>43</v>
      </c>
      <c r="C6" s="4" t="s">
        <v>15</v>
      </c>
      <c r="D6" s="4" t="s">
        <v>44</v>
      </c>
      <c r="E6" s="4" t="s">
        <v>17</v>
      </c>
      <c r="F6" s="4" t="s">
        <v>45</v>
      </c>
      <c r="G6" s="4" t="s">
        <v>46</v>
      </c>
      <c r="H6" s="4" t="s">
        <v>47</v>
      </c>
      <c r="I6" s="4" t="s">
        <v>48</v>
      </c>
      <c r="J6" s="4" t="s">
        <v>9</v>
      </c>
      <c r="K6" s="5">
        <v>46083.0</v>
      </c>
      <c r="L6" s="6" t="s">
        <v>22</v>
      </c>
      <c r="M6" s="7" t="str">
        <f>IFERROR(__xludf.DUMMYFUNCTION("TEXT(
  IF(RIGHT(A6,2)=""mo"",
    EDATE(DATEVALUE(K6), -VALUE(REGEXEXTRACT(A6,""\d+""))),
    DATEVALUE(K6) - IF(RIGHT(A6,1)=""h"", VALUE(REGEXEXTRACT(A6,""\d+""))/24,
         IF(RIGHT(A6,1)=""d"", VALUE(REGEXEXTRACT(A6,""\d+"")),
         IF(RIGHT(A6,1"&amp;")=""w"", VALUE(REGEXEXTRACT(A6,""\d+""))*7,
         0)))
  )
, ""YYYY-M-D"")"),"2026-2-27")</f>
        <v>2026-2-27</v>
      </c>
    </row>
    <row r="7">
      <c r="A7" s="4" t="s">
        <v>42</v>
      </c>
      <c r="B7" s="4" t="s">
        <v>49</v>
      </c>
      <c r="C7" s="4" t="s">
        <v>15</v>
      </c>
      <c r="D7" s="4" t="s">
        <v>16</v>
      </c>
      <c r="E7" s="4" t="s">
        <v>17</v>
      </c>
      <c r="F7" s="4" t="s">
        <v>50</v>
      </c>
      <c r="G7" s="4" t="s">
        <v>51</v>
      </c>
      <c r="H7" s="4" t="s">
        <v>52</v>
      </c>
      <c r="I7" s="4" t="s">
        <v>53</v>
      </c>
      <c r="J7" s="4" t="s">
        <v>9</v>
      </c>
      <c r="K7" s="5">
        <v>46083.0</v>
      </c>
      <c r="L7" s="6" t="s">
        <v>22</v>
      </c>
      <c r="M7" s="7" t="str">
        <f>IFERROR(__xludf.DUMMYFUNCTION("TEXT(
  IF(RIGHT(A7,2)=""mo"",
    EDATE(DATEVALUE(K7), -VALUE(REGEXEXTRACT(A7,""\d+""))),
    DATEVALUE(K7) - IF(RIGHT(A7,1)=""h"", VALUE(REGEXEXTRACT(A7,""\d+""))/24,
         IF(RIGHT(A7,1)=""d"", VALUE(REGEXEXTRACT(A7,""\d+"")),
         IF(RIGHT(A7,1"&amp;")=""w"", VALUE(REGEXEXTRACT(A7,""\d+""))*7,
         0)))
  )
, ""YYYY-M-D"")"),"2026-2-27")</f>
        <v>2026-2-27</v>
      </c>
    </row>
    <row r="8">
      <c r="A8" s="4" t="s">
        <v>42</v>
      </c>
      <c r="B8" s="4" t="s">
        <v>54</v>
      </c>
      <c r="C8" s="4" t="s">
        <v>15</v>
      </c>
      <c r="D8" s="4" t="s">
        <v>44</v>
      </c>
      <c r="E8" s="4" t="s">
        <v>17</v>
      </c>
      <c r="F8" s="4" t="s">
        <v>55</v>
      </c>
      <c r="G8" s="4" t="s">
        <v>56</v>
      </c>
      <c r="H8" s="4" t="s">
        <v>57</v>
      </c>
      <c r="I8" s="4" t="s">
        <v>58</v>
      </c>
      <c r="J8" s="4" t="s">
        <v>9</v>
      </c>
      <c r="K8" s="5">
        <v>46083.0</v>
      </c>
      <c r="L8" s="6" t="s">
        <v>22</v>
      </c>
      <c r="M8" s="7" t="str">
        <f>IFERROR(__xludf.DUMMYFUNCTION("TEXT(
  IF(RIGHT(A8,2)=""mo"",
    EDATE(DATEVALUE(K8), -VALUE(REGEXEXTRACT(A8,""\d+""))),
    DATEVALUE(K8) - IF(RIGHT(A8,1)=""h"", VALUE(REGEXEXTRACT(A8,""\d+""))/24,
         IF(RIGHT(A8,1)=""d"", VALUE(REGEXEXTRACT(A8,""\d+"")),
         IF(RIGHT(A8,1"&amp;")=""w"", VALUE(REGEXEXTRACT(A8,""\d+""))*7,
         0)))
  )
, ""YYYY-M-D"")"),"2026-2-27")</f>
        <v>2026-2-27</v>
      </c>
    </row>
    <row r="9">
      <c r="A9" s="4" t="s">
        <v>59</v>
      </c>
      <c r="B9" s="4" t="s">
        <v>60</v>
      </c>
      <c r="C9" s="4" t="s">
        <v>15</v>
      </c>
      <c r="D9" s="4" t="s">
        <v>37</v>
      </c>
      <c r="E9" s="4" t="s">
        <v>61</v>
      </c>
      <c r="F9" s="4" t="s">
        <v>62</v>
      </c>
      <c r="G9" s="4" t="s">
        <v>63</v>
      </c>
      <c r="H9" s="4" t="s">
        <v>64</v>
      </c>
      <c r="I9" s="4" t="s">
        <v>65</v>
      </c>
      <c r="J9" s="4" t="s">
        <v>9</v>
      </c>
      <c r="K9" s="5">
        <v>46083.0</v>
      </c>
      <c r="L9" s="6" t="s">
        <v>22</v>
      </c>
      <c r="M9" s="7" t="str">
        <f>IFERROR(__xludf.DUMMYFUNCTION("TEXT(
  IF(RIGHT(A9,2)=""mo"",
    EDATE(DATEVALUE(K9), -VALUE(REGEXEXTRACT(A9,""\d+""))),
    DATEVALUE(K9) - IF(RIGHT(A9,1)=""h"", VALUE(REGEXEXTRACT(A9,""\d+""))/24,
         IF(RIGHT(A9,1)=""d"", VALUE(REGEXEXTRACT(A9,""\d+"")),
         IF(RIGHT(A9,1"&amp;")=""w"", VALUE(REGEXEXTRACT(A9,""\d+""))*7,
         0)))
  )
, ""YYYY-M-D"")"),"2026-2-26")</f>
        <v>2026-2-26</v>
      </c>
    </row>
    <row r="10">
      <c r="A10" s="4" t="s">
        <v>59</v>
      </c>
      <c r="B10" s="4" t="s">
        <v>66</v>
      </c>
      <c r="C10" s="4" t="s">
        <v>15</v>
      </c>
      <c r="D10" s="4" t="s">
        <v>44</v>
      </c>
      <c r="E10" s="4" t="s">
        <v>67</v>
      </c>
      <c r="F10" s="4" t="s">
        <v>68</v>
      </c>
      <c r="G10" s="4" t="s">
        <v>69</v>
      </c>
      <c r="H10" s="4" t="s">
        <v>70</v>
      </c>
      <c r="I10" s="4" t="s">
        <v>71</v>
      </c>
      <c r="J10" s="4" t="s">
        <v>9</v>
      </c>
      <c r="K10" s="5">
        <v>46083.0</v>
      </c>
      <c r="L10" s="6" t="s">
        <v>22</v>
      </c>
      <c r="M10" s="7" t="str">
        <f>IFERROR(__xludf.DUMMYFUNCTION("TEXT(
  IF(RIGHT(A10,2)=""mo"",
    EDATE(DATEVALUE(K10), -VALUE(REGEXEXTRACT(A10,""\d+""))),
    DATEVALUE(K10) - IF(RIGHT(A10,1)=""h"", VALUE(REGEXEXTRACT(A10,""\d+""))/24,
         IF(RIGHT(A10,1)=""d"", VALUE(REGEXEXTRACT(A10,""\d+"")),
         IF(RI"&amp;"GHT(A10,1)=""w"", VALUE(REGEXEXTRACT(A10,""\d+""))*7,
         0)))
  )
, ""YYYY-M-D"")"),"2026-2-26")</f>
        <v>2026-2-26</v>
      </c>
    </row>
    <row r="11">
      <c r="A11" s="4" t="s">
        <v>59</v>
      </c>
      <c r="B11" s="4" t="s">
        <v>72</v>
      </c>
      <c r="C11" s="4" t="s">
        <v>15</v>
      </c>
      <c r="D11" s="4" t="s">
        <v>16</v>
      </c>
      <c r="E11" s="4" t="s">
        <v>17</v>
      </c>
      <c r="F11" s="4" t="s">
        <v>73</v>
      </c>
      <c r="G11" s="4" t="s">
        <v>74</v>
      </c>
      <c r="H11" s="4" t="s">
        <v>75</v>
      </c>
      <c r="I11" s="4" t="s">
        <v>21</v>
      </c>
      <c r="J11" s="4" t="s">
        <v>9</v>
      </c>
      <c r="K11" s="5">
        <v>46083.0</v>
      </c>
      <c r="L11" s="6" t="s">
        <v>22</v>
      </c>
      <c r="M11" s="7" t="str">
        <f>IFERROR(__xludf.DUMMYFUNCTION("TEXT(
  IF(RIGHT(A11,2)=""mo"",
    EDATE(DATEVALUE(K11), -VALUE(REGEXEXTRACT(A11,""\d+""))),
    DATEVALUE(K11) - IF(RIGHT(A11,1)=""h"", VALUE(REGEXEXTRACT(A11,""\d+""))/24,
         IF(RIGHT(A11,1)=""d"", VALUE(REGEXEXTRACT(A11,""\d+"")),
         IF(RI"&amp;"GHT(A11,1)=""w"", VALUE(REGEXEXTRACT(A11,""\d+""))*7,
         0)))
  )
, ""YYYY-M-D"")"),"2026-2-26")</f>
        <v>2026-2-26</v>
      </c>
    </row>
    <row r="12">
      <c r="A12" s="4" t="s">
        <v>59</v>
      </c>
      <c r="B12" s="4" t="s">
        <v>76</v>
      </c>
      <c r="C12" s="4" t="s">
        <v>15</v>
      </c>
      <c r="D12" s="4" t="s">
        <v>44</v>
      </c>
      <c r="E12" s="4" t="s">
        <v>17</v>
      </c>
      <c r="F12" s="4" t="s">
        <v>77</v>
      </c>
      <c r="G12" s="4" t="s">
        <v>78</v>
      </c>
      <c r="H12" s="4" t="s">
        <v>79</v>
      </c>
      <c r="I12" s="4" t="s">
        <v>80</v>
      </c>
      <c r="J12" s="4" t="s">
        <v>9</v>
      </c>
      <c r="K12" s="5">
        <v>46083.0</v>
      </c>
      <c r="L12" s="6" t="s">
        <v>22</v>
      </c>
      <c r="M12" s="7" t="str">
        <f>IFERROR(__xludf.DUMMYFUNCTION("TEXT(
  IF(RIGHT(A12,2)=""mo"",
    EDATE(DATEVALUE(K12), -VALUE(REGEXEXTRACT(A12,""\d+""))),
    DATEVALUE(K12) - IF(RIGHT(A12,1)=""h"", VALUE(REGEXEXTRACT(A12,""\d+""))/24,
         IF(RIGHT(A12,1)=""d"", VALUE(REGEXEXTRACT(A12,""\d+"")),
         IF(RI"&amp;"GHT(A12,1)=""w"", VALUE(REGEXEXTRACT(A12,""\d+""))*7,
         0)))
  )
, ""YYYY-M-D"")"),"2026-2-26")</f>
        <v>2026-2-26</v>
      </c>
    </row>
    <row r="13">
      <c r="A13" s="4" t="s">
        <v>59</v>
      </c>
      <c r="B13" s="4" t="s">
        <v>81</v>
      </c>
      <c r="C13" s="4" t="s">
        <v>15</v>
      </c>
      <c r="D13" s="4" t="s">
        <v>16</v>
      </c>
      <c r="E13" s="4" t="s">
        <v>17</v>
      </c>
      <c r="F13" s="4" t="s">
        <v>82</v>
      </c>
      <c r="G13" s="4" t="s">
        <v>83</v>
      </c>
      <c r="H13" s="4" t="s">
        <v>84</v>
      </c>
      <c r="I13" s="4" t="s">
        <v>85</v>
      </c>
      <c r="J13" s="4" t="s">
        <v>9</v>
      </c>
      <c r="K13" s="5">
        <v>46083.0</v>
      </c>
      <c r="L13" s="6" t="s">
        <v>22</v>
      </c>
      <c r="M13" s="7" t="str">
        <f>IFERROR(__xludf.DUMMYFUNCTION("TEXT(
  IF(RIGHT(A13,2)=""mo"",
    EDATE(DATEVALUE(K13), -VALUE(REGEXEXTRACT(A13,""\d+""))),
    DATEVALUE(K13) - IF(RIGHT(A13,1)=""h"", VALUE(REGEXEXTRACT(A13,""\d+""))/24,
         IF(RIGHT(A13,1)=""d"", VALUE(REGEXEXTRACT(A13,""\d+"")),
         IF(RI"&amp;"GHT(A13,1)=""w"", VALUE(REGEXEXTRACT(A13,""\d+""))*7,
         0)))
  )
, ""YYYY-M-D"")"),"2026-2-26")</f>
        <v>2026-2-26</v>
      </c>
    </row>
    <row r="14">
      <c r="A14" s="4" t="s">
        <v>59</v>
      </c>
      <c r="B14" s="4" t="s">
        <v>81</v>
      </c>
      <c r="C14" s="4" t="s">
        <v>15</v>
      </c>
      <c r="D14" s="4" t="s">
        <v>16</v>
      </c>
      <c r="E14" s="4" t="s">
        <v>17</v>
      </c>
      <c r="F14" s="4" t="s">
        <v>82</v>
      </c>
      <c r="G14" s="4" t="s">
        <v>86</v>
      </c>
      <c r="H14" s="4" t="s">
        <v>87</v>
      </c>
      <c r="I14" s="4" t="s">
        <v>88</v>
      </c>
      <c r="J14" s="4" t="s">
        <v>9</v>
      </c>
      <c r="K14" s="5">
        <v>46083.0</v>
      </c>
      <c r="L14" s="6" t="s">
        <v>22</v>
      </c>
      <c r="M14" s="7" t="str">
        <f>IFERROR(__xludf.DUMMYFUNCTION("TEXT(
  IF(RIGHT(A14,2)=""mo"",
    EDATE(DATEVALUE(K14), -VALUE(REGEXEXTRACT(A14,""\d+""))),
    DATEVALUE(K14) - IF(RIGHT(A14,1)=""h"", VALUE(REGEXEXTRACT(A14,""\d+""))/24,
         IF(RIGHT(A14,1)=""d"", VALUE(REGEXEXTRACT(A14,""\d+"")),
         IF(RI"&amp;"GHT(A14,1)=""w"", VALUE(REGEXEXTRACT(A14,""\d+""))*7,
         0)))
  )
, ""YYYY-M-D"")"),"2026-2-26")</f>
        <v>2026-2-26</v>
      </c>
    </row>
    <row r="15">
      <c r="A15" s="4" t="s">
        <v>59</v>
      </c>
      <c r="B15" s="4" t="s">
        <v>89</v>
      </c>
      <c r="C15" s="4" t="s">
        <v>90</v>
      </c>
      <c r="D15" s="4" t="s">
        <v>16</v>
      </c>
      <c r="E15" s="4" t="s">
        <v>17</v>
      </c>
      <c r="F15" s="4" t="s">
        <v>91</v>
      </c>
      <c r="G15" s="4" t="s">
        <v>92</v>
      </c>
      <c r="H15" s="4" t="s">
        <v>93</v>
      </c>
      <c r="I15" s="4" t="s">
        <v>94</v>
      </c>
      <c r="J15" s="4" t="s">
        <v>9</v>
      </c>
      <c r="K15" s="5">
        <v>46083.0</v>
      </c>
      <c r="L15" s="6" t="s">
        <v>22</v>
      </c>
      <c r="M15" s="7" t="str">
        <f>IFERROR(__xludf.DUMMYFUNCTION("TEXT(
  IF(RIGHT(A15,2)=""mo"",
    EDATE(DATEVALUE(K15), -VALUE(REGEXEXTRACT(A15,""\d+""))),
    DATEVALUE(K15) - IF(RIGHT(A15,1)=""h"", VALUE(REGEXEXTRACT(A15,""\d+""))/24,
         IF(RIGHT(A15,1)=""d"", VALUE(REGEXEXTRACT(A15,""\d+"")),
         IF(RI"&amp;"GHT(A15,1)=""w"", VALUE(REGEXEXTRACT(A15,""\d+""))*7,
         0)))
  )
, ""YYYY-M-D"")"),"2026-2-26")</f>
        <v>2026-2-26</v>
      </c>
    </row>
    <row r="16">
      <c r="A16" s="4" t="s">
        <v>59</v>
      </c>
      <c r="B16" s="4" t="s">
        <v>95</v>
      </c>
      <c r="C16" s="4" t="s">
        <v>15</v>
      </c>
      <c r="D16" s="4" t="s">
        <v>44</v>
      </c>
      <c r="E16" s="4" t="s">
        <v>17</v>
      </c>
      <c r="F16" s="4" t="s">
        <v>96</v>
      </c>
      <c r="G16" s="4" t="s">
        <v>97</v>
      </c>
      <c r="H16" s="4" t="s">
        <v>98</v>
      </c>
      <c r="I16" s="4" t="s">
        <v>99</v>
      </c>
      <c r="J16" s="4" t="s">
        <v>9</v>
      </c>
      <c r="K16" s="5">
        <v>46083.0</v>
      </c>
      <c r="L16" s="6" t="s">
        <v>22</v>
      </c>
      <c r="M16" s="7" t="str">
        <f>IFERROR(__xludf.DUMMYFUNCTION("TEXT(
  IF(RIGHT(A16,2)=""mo"",
    EDATE(DATEVALUE(K16), -VALUE(REGEXEXTRACT(A16,""\d+""))),
    DATEVALUE(K16) - IF(RIGHT(A16,1)=""h"", VALUE(REGEXEXTRACT(A16,""\d+""))/24,
         IF(RIGHT(A16,1)=""d"", VALUE(REGEXEXTRACT(A16,""\d+"")),
         IF(RI"&amp;"GHT(A16,1)=""w"", VALUE(REGEXEXTRACT(A16,""\d+""))*7,
         0)))
  )
, ""YYYY-M-D"")"),"2026-2-26")</f>
        <v>2026-2-26</v>
      </c>
    </row>
    <row r="17">
      <c r="A17" s="4" t="s">
        <v>59</v>
      </c>
      <c r="B17" s="4" t="s">
        <v>100</v>
      </c>
      <c r="C17" s="4" t="s">
        <v>15</v>
      </c>
      <c r="D17" s="4" t="s">
        <v>16</v>
      </c>
      <c r="E17" s="4" t="s">
        <v>17</v>
      </c>
      <c r="F17" s="4" t="s">
        <v>101</v>
      </c>
      <c r="G17" s="4" t="s">
        <v>102</v>
      </c>
      <c r="H17" s="4" t="s">
        <v>103</v>
      </c>
      <c r="I17" s="4" t="s">
        <v>104</v>
      </c>
      <c r="J17" s="4" t="s">
        <v>9</v>
      </c>
      <c r="K17" s="5">
        <v>46083.0</v>
      </c>
      <c r="L17" s="6" t="s">
        <v>22</v>
      </c>
      <c r="M17" s="7" t="str">
        <f>IFERROR(__xludf.DUMMYFUNCTION("TEXT(
  IF(RIGHT(A17,2)=""mo"",
    EDATE(DATEVALUE(K17), -VALUE(REGEXEXTRACT(A17,""\d+""))),
    DATEVALUE(K17) - IF(RIGHT(A17,1)=""h"", VALUE(REGEXEXTRACT(A17,""\d+""))/24,
         IF(RIGHT(A17,1)=""d"", VALUE(REGEXEXTRACT(A17,""\d+"")),
         IF(RI"&amp;"GHT(A17,1)=""w"", VALUE(REGEXEXTRACT(A17,""\d+""))*7,
         0)))
  )
, ""YYYY-M-D"")"),"2026-2-26")</f>
        <v>2026-2-26</v>
      </c>
    </row>
    <row r="18">
      <c r="A18" s="4" t="s">
        <v>59</v>
      </c>
      <c r="B18" s="4" t="s">
        <v>105</v>
      </c>
      <c r="C18" s="4" t="s">
        <v>106</v>
      </c>
      <c r="D18" s="4" t="s">
        <v>16</v>
      </c>
      <c r="E18" s="4" t="s">
        <v>17</v>
      </c>
      <c r="F18" s="4" t="s">
        <v>107</v>
      </c>
      <c r="G18" s="4" t="s">
        <v>108</v>
      </c>
      <c r="H18" s="4" t="s">
        <v>109</v>
      </c>
      <c r="I18" s="4" t="s">
        <v>110</v>
      </c>
      <c r="J18" s="4" t="s">
        <v>9</v>
      </c>
      <c r="K18" s="5">
        <v>46083.0</v>
      </c>
      <c r="L18" s="6" t="s">
        <v>22</v>
      </c>
      <c r="M18" s="7" t="str">
        <f>IFERROR(__xludf.DUMMYFUNCTION("TEXT(
  IF(RIGHT(A18,2)=""mo"",
    EDATE(DATEVALUE(K18), -VALUE(REGEXEXTRACT(A18,""\d+""))),
    DATEVALUE(K18) - IF(RIGHT(A18,1)=""h"", VALUE(REGEXEXTRACT(A18,""\d+""))/24,
         IF(RIGHT(A18,1)=""d"", VALUE(REGEXEXTRACT(A18,""\d+"")),
         IF(RI"&amp;"GHT(A18,1)=""w"", VALUE(REGEXEXTRACT(A18,""\d+""))*7,
         0)))
  )
, ""YYYY-M-D"")"),"2026-2-26")</f>
        <v>2026-2-26</v>
      </c>
    </row>
    <row r="19">
      <c r="A19" s="4" t="s">
        <v>59</v>
      </c>
      <c r="B19" s="4" t="s">
        <v>111</v>
      </c>
      <c r="C19" s="4" t="s">
        <v>112</v>
      </c>
      <c r="D19" s="4" t="s">
        <v>37</v>
      </c>
      <c r="E19" s="4" t="s">
        <v>17</v>
      </c>
      <c r="F19" s="4" t="s">
        <v>113</v>
      </c>
      <c r="G19" s="4" t="s">
        <v>114</v>
      </c>
      <c r="H19" s="4" t="s">
        <v>115</v>
      </c>
      <c r="I19" s="4" t="s">
        <v>116</v>
      </c>
      <c r="J19" s="4" t="s">
        <v>9</v>
      </c>
      <c r="K19" s="5">
        <v>46083.0</v>
      </c>
      <c r="L19" s="6" t="s">
        <v>22</v>
      </c>
      <c r="M19" s="7" t="str">
        <f>IFERROR(__xludf.DUMMYFUNCTION("TEXT(
  IF(RIGHT(A19,2)=""mo"",
    EDATE(DATEVALUE(K19), -VALUE(REGEXEXTRACT(A19,""\d+""))),
    DATEVALUE(K19) - IF(RIGHT(A19,1)=""h"", VALUE(REGEXEXTRACT(A19,""\d+""))/24,
         IF(RIGHT(A19,1)=""d"", VALUE(REGEXEXTRACT(A19,""\d+"")),
         IF(RI"&amp;"GHT(A19,1)=""w"", VALUE(REGEXEXTRACT(A19,""\d+""))*7,
         0)))
  )
, ""YYYY-M-D"")"),"2026-2-26")</f>
        <v>2026-2-26</v>
      </c>
    </row>
    <row r="20">
      <c r="A20" s="4" t="s">
        <v>59</v>
      </c>
      <c r="B20" s="4" t="s">
        <v>117</v>
      </c>
      <c r="C20" s="4" t="s">
        <v>118</v>
      </c>
      <c r="D20" s="4" t="s">
        <v>37</v>
      </c>
      <c r="E20" s="4" t="s">
        <v>17</v>
      </c>
      <c r="F20" s="4" t="s">
        <v>119</v>
      </c>
      <c r="G20" s="4" t="s">
        <v>120</v>
      </c>
      <c r="H20" s="4" t="s">
        <v>121</v>
      </c>
      <c r="I20" s="4" t="s">
        <v>122</v>
      </c>
      <c r="J20" s="4" t="s">
        <v>9</v>
      </c>
      <c r="K20" s="5">
        <v>46083.0</v>
      </c>
      <c r="L20" s="6" t="s">
        <v>22</v>
      </c>
      <c r="M20" s="7" t="str">
        <f>IFERROR(__xludf.DUMMYFUNCTION("TEXT(
  IF(RIGHT(A20,2)=""mo"",
    EDATE(DATEVALUE(K20), -VALUE(REGEXEXTRACT(A20,""\d+""))),
    DATEVALUE(K20) - IF(RIGHT(A20,1)=""h"", VALUE(REGEXEXTRACT(A20,""\d+""))/24,
         IF(RIGHT(A20,1)=""d"", VALUE(REGEXEXTRACT(A20,""\d+"")),
         IF(RI"&amp;"GHT(A20,1)=""w"", VALUE(REGEXEXTRACT(A20,""\d+""))*7,
         0)))
  )
, ""YYYY-M-D"")"),"2026-2-26")</f>
        <v>2026-2-26</v>
      </c>
    </row>
    <row r="21">
      <c r="A21" s="4" t="s">
        <v>123</v>
      </c>
      <c r="B21" s="4" t="s">
        <v>124</v>
      </c>
      <c r="C21" s="4" t="s">
        <v>15</v>
      </c>
      <c r="D21" s="4" t="s">
        <v>16</v>
      </c>
      <c r="E21" s="4" t="s">
        <v>17</v>
      </c>
      <c r="F21" s="4" t="s">
        <v>125</v>
      </c>
      <c r="G21" s="4" t="s">
        <v>126</v>
      </c>
      <c r="H21" s="4" t="s">
        <v>127</v>
      </c>
      <c r="I21" s="4" t="s">
        <v>128</v>
      </c>
      <c r="J21" s="4" t="s">
        <v>9</v>
      </c>
      <c r="K21" s="5">
        <v>46083.0</v>
      </c>
      <c r="L21" s="6" t="s">
        <v>22</v>
      </c>
      <c r="M21" s="7" t="str">
        <f>IFERROR(__xludf.DUMMYFUNCTION("TEXT(
  IF(RIGHT(A21,2)=""mo"",
    EDATE(DATEVALUE(K21), -VALUE(REGEXEXTRACT(A21,""\d+""))),
    DATEVALUE(K21) - IF(RIGHT(A21,1)=""h"", VALUE(REGEXEXTRACT(A21,""\d+""))/24,
         IF(RIGHT(A21,1)=""d"", VALUE(REGEXEXTRACT(A21,""\d+"")),
         IF(RI"&amp;"GHT(A21,1)=""w"", VALUE(REGEXEXTRACT(A21,""\d+""))*7,
         0)))
  )
, ""YYYY-M-D"")"),"2026-2-25")</f>
        <v>2026-2-25</v>
      </c>
    </row>
    <row r="22">
      <c r="A22" s="4" t="s">
        <v>123</v>
      </c>
      <c r="B22" s="4" t="s">
        <v>129</v>
      </c>
      <c r="C22" s="4" t="s">
        <v>15</v>
      </c>
      <c r="D22" s="4" t="s">
        <v>16</v>
      </c>
      <c r="E22" s="4" t="s">
        <v>17</v>
      </c>
      <c r="F22" s="4" t="s">
        <v>130</v>
      </c>
      <c r="G22" s="4" t="s">
        <v>131</v>
      </c>
      <c r="H22" s="4" t="s">
        <v>132</v>
      </c>
      <c r="I22" s="4" t="s">
        <v>133</v>
      </c>
      <c r="J22" s="4" t="s">
        <v>9</v>
      </c>
      <c r="K22" s="5">
        <v>46083.0</v>
      </c>
      <c r="L22" s="6" t="s">
        <v>22</v>
      </c>
      <c r="M22" s="7" t="str">
        <f>IFERROR(__xludf.DUMMYFUNCTION("TEXT(
  IF(RIGHT(A22,2)=""mo"",
    EDATE(DATEVALUE(K22), -VALUE(REGEXEXTRACT(A22,""\d+""))),
    DATEVALUE(K22) - IF(RIGHT(A22,1)=""h"", VALUE(REGEXEXTRACT(A22,""\d+""))/24,
         IF(RIGHT(A22,1)=""d"", VALUE(REGEXEXTRACT(A22,""\d+"")),
         IF(RI"&amp;"GHT(A22,1)=""w"", VALUE(REGEXEXTRACT(A22,""\d+""))*7,
         0)))
  )
, ""YYYY-M-D"")"),"2026-2-25")</f>
        <v>2026-2-25</v>
      </c>
    </row>
    <row r="23">
      <c r="A23" s="4" t="s">
        <v>123</v>
      </c>
      <c r="B23" s="4" t="s">
        <v>134</v>
      </c>
      <c r="C23" s="4" t="s">
        <v>135</v>
      </c>
      <c r="D23" s="4" t="s">
        <v>37</v>
      </c>
      <c r="E23" s="4" t="s">
        <v>67</v>
      </c>
      <c r="F23" s="4" t="s">
        <v>136</v>
      </c>
      <c r="G23" s="4" t="s">
        <v>137</v>
      </c>
      <c r="H23" s="4" t="s">
        <v>138</v>
      </c>
      <c r="I23" s="4" t="s">
        <v>139</v>
      </c>
      <c r="J23" s="4" t="s">
        <v>9</v>
      </c>
      <c r="K23" s="5">
        <v>46083.0</v>
      </c>
      <c r="L23" s="6" t="s">
        <v>22</v>
      </c>
      <c r="M23" s="7" t="str">
        <f>IFERROR(__xludf.DUMMYFUNCTION("TEXT(
  IF(RIGHT(A23,2)=""mo"",
    EDATE(DATEVALUE(K23), -VALUE(REGEXEXTRACT(A23,""\d+""))),
    DATEVALUE(K23) - IF(RIGHT(A23,1)=""h"", VALUE(REGEXEXTRACT(A23,""\d+""))/24,
         IF(RIGHT(A23,1)=""d"", VALUE(REGEXEXTRACT(A23,""\d+"")),
         IF(RI"&amp;"GHT(A23,1)=""w"", VALUE(REGEXEXTRACT(A23,""\d+""))*7,
         0)))
  )
, ""YYYY-M-D"")"),"2026-2-25")</f>
        <v>2026-2-25</v>
      </c>
    </row>
    <row r="24">
      <c r="A24" s="4" t="s">
        <v>123</v>
      </c>
      <c r="B24" s="4" t="s">
        <v>140</v>
      </c>
      <c r="C24" s="4" t="s">
        <v>118</v>
      </c>
      <c r="D24" s="4" t="s">
        <v>37</v>
      </c>
      <c r="E24" s="4" t="s">
        <v>67</v>
      </c>
      <c r="F24" s="4" t="s">
        <v>141</v>
      </c>
      <c r="G24" s="4" t="s">
        <v>142</v>
      </c>
      <c r="H24" s="4" t="s">
        <v>143</v>
      </c>
      <c r="I24" s="4" t="s">
        <v>21</v>
      </c>
      <c r="J24" s="4" t="s">
        <v>9</v>
      </c>
      <c r="K24" s="5">
        <v>46083.0</v>
      </c>
      <c r="L24" s="6" t="s">
        <v>22</v>
      </c>
      <c r="M24" s="7" t="str">
        <f>IFERROR(__xludf.DUMMYFUNCTION("TEXT(
  IF(RIGHT(A24,2)=""mo"",
    EDATE(DATEVALUE(K24), -VALUE(REGEXEXTRACT(A24,""\d+""))),
    DATEVALUE(K24) - IF(RIGHT(A24,1)=""h"", VALUE(REGEXEXTRACT(A24,""\d+""))/24,
         IF(RIGHT(A24,1)=""d"", VALUE(REGEXEXTRACT(A24,""\d+"")),
         IF(RI"&amp;"GHT(A24,1)=""w"", VALUE(REGEXEXTRACT(A24,""\d+""))*7,
         0)))
  )
, ""YYYY-M-D"")"),"2026-2-25")</f>
        <v>2026-2-25</v>
      </c>
    </row>
    <row r="25">
      <c r="A25" s="4" t="s">
        <v>144</v>
      </c>
      <c r="B25" s="4" t="s">
        <v>145</v>
      </c>
      <c r="C25" s="4" t="s">
        <v>15</v>
      </c>
      <c r="D25" s="4" t="s">
        <v>44</v>
      </c>
      <c r="E25" s="4" t="s">
        <v>17</v>
      </c>
      <c r="F25" s="4" t="s">
        <v>146</v>
      </c>
      <c r="G25" s="4" t="s">
        <v>147</v>
      </c>
      <c r="H25" s="4" t="s">
        <v>148</v>
      </c>
      <c r="I25" s="4" t="s">
        <v>149</v>
      </c>
      <c r="J25" s="4" t="s">
        <v>9</v>
      </c>
      <c r="K25" s="5">
        <v>46083.0</v>
      </c>
      <c r="L25" s="6" t="s">
        <v>22</v>
      </c>
      <c r="M25" s="7" t="str">
        <f>IFERROR(__xludf.DUMMYFUNCTION("TEXT(
  IF(RIGHT(A25,2)=""mo"",
    EDATE(DATEVALUE(K25), -VALUE(REGEXEXTRACT(A25,""\d+""))),
    DATEVALUE(K25) - IF(RIGHT(A25,1)=""h"", VALUE(REGEXEXTRACT(A25,""\d+""))/24,
         IF(RIGHT(A25,1)=""d"", VALUE(REGEXEXTRACT(A25,""\d+"")),
         IF(RI"&amp;"GHT(A25,1)=""w"", VALUE(REGEXEXTRACT(A25,""\d+""))*7,
         0)))
  )
, ""YYYY-M-D"")"),"2026-2-24")</f>
        <v>2026-2-24</v>
      </c>
    </row>
    <row r="26">
      <c r="A26" s="4" t="s">
        <v>144</v>
      </c>
      <c r="B26" s="4" t="s">
        <v>150</v>
      </c>
      <c r="C26" s="4" t="s">
        <v>151</v>
      </c>
      <c r="D26" s="4" t="s">
        <v>16</v>
      </c>
      <c r="E26" s="4" t="s">
        <v>17</v>
      </c>
      <c r="F26" s="4" t="s">
        <v>152</v>
      </c>
      <c r="G26" s="4" t="s">
        <v>153</v>
      </c>
      <c r="H26" s="4" t="s">
        <v>154</v>
      </c>
      <c r="I26" s="4" t="s">
        <v>155</v>
      </c>
      <c r="J26" s="4" t="s">
        <v>9</v>
      </c>
      <c r="K26" s="5">
        <v>46083.0</v>
      </c>
      <c r="L26" s="6" t="s">
        <v>22</v>
      </c>
      <c r="M26" s="7" t="str">
        <f>IFERROR(__xludf.DUMMYFUNCTION("TEXT(
  IF(RIGHT(A26,2)=""mo"",
    EDATE(DATEVALUE(K26), -VALUE(REGEXEXTRACT(A26,""\d+""))),
    DATEVALUE(K26) - IF(RIGHT(A26,1)=""h"", VALUE(REGEXEXTRACT(A26,""\d+""))/24,
         IF(RIGHT(A26,1)=""d"", VALUE(REGEXEXTRACT(A26,""\d+"")),
         IF(RI"&amp;"GHT(A26,1)=""w"", VALUE(REGEXEXTRACT(A26,""\d+""))*7,
         0)))
  )
, ""YYYY-M-D"")"),"2026-2-24")</f>
        <v>2026-2-24</v>
      </c>
    </row>
    <row r="27">
      <c r="A27" s="4" t="s">
        <v>144</v>
      </c>
      <c r="B27" s="4" t="s">
        <v>156</v>
      </c>
      <c r="C27" s="4" t="s">
        <v>15</v>
      </c>
      <c r="D27" s="4" t="s">
        <v>16</v>
      </c>
      <c r="E27" s="4" t="s">
        <v>17</v>
      </c>
      <c r="F27" s="4" t="s">
        <v>157</v>
      </c>
      <c r="G27" s="4" t="s">
        <v>158</v>
      </c>
      <c r="H27" s="4" t="s">
        <v>159</v>
      </c>
      <c r="I27" s="4" t="s">
        <v>160</v>
      </c>
      <c r="J27" s="4" t="s">
        <v>9</v>
      </c>
      <c r="K27" s="5">
        <v>46083.0</v>
      </c>
      <c r="L27" s="6" t="s">
        <v>22</v>
      </c>
      <c r="M27" s="7" t="str">
        <f>IFERROR(__xludf.DUMMYFUNCTION("TEXT(
  IF(RIGHT(A27,2)=""mo"",
    EDATE(DATEVALUE(K27), -VALUE(REGEXEXTRACT(A27,""\d+""))),
    DATEVALUE(K27) - IF(RIGHT(A27,1)=""h"", VALUE(REGEXEXTRACT(A27,""\d+""))/24,
         IF(RIGHT(A27,1)=""d"", VALUE(REGEXEXTRACT(A27,""\d+"")),
         IF(RI"&amp;"GHT(A27,1)=""w"", VALUE(REGEXEXTRACT(A27,""\d+""))*7,
         0)))
  )
, ""YYYY-M-D"")"),"2026-2-24")</f>
        <v>2026-2-24</v>
      </c>
    </row>
    <row r="28">
      <c r="A28" s="4" t="s">
        <v>144</v>
      </c>
      <c r="B28" s="4" t="s">
        <v>161</v>
      </c>
      <c r="C28" s="4" t="s">
        <v>162</v>
      </c>
      <c r="D28" s="4" t="s">
        <v>37</v>
      </c>
      <c r="E28" s="4" t="s">
        <v>17</v>
      </c>
      <c r="F28" s="4" t="s">
        <v>163</v>
      </c>
      <c r="G28" s="4" t="s">
        <v>164</v>
      </c>
      <c r="H28" s="4" t="s">
        <v>165</v>
      </c>
      <c r="I28" s="4" t="s">
        <v>166</v>
      </c>
      <c r="J28" s="4" t="s">
        <v>9</v>
      </c>
      <c r="K28" s="5">
        <v>46083.0</v>
      </c>
      <c r="L28" s="6" t="s">
        <v>22</v>
      </c>
      <c r="M28" s="7" t="str">
        <f>IFERROR(__xludf.DUMMYFUNCTION("TEXT(
  IF(RIGHT(A28,2)=""mo"",
    EDATE(DATEVALUE(K28), -VALUE(REGEXEXTRACT(A28,""\d+""))),
    DATEVALUE(K28) - IF(RIGHT(A28,1)=""h"", VALUE(REGEXEXTRACT(A28,""\d+""))/24,
         IF(RIGHT(A28,1)=""d"", VALUE(REGEXEXTRACT(A28,""\d+"")),
         IF(RI"&amp;"GHT(A28,1)=""w"", VALUE(REGEXEXTRACT(A28,""\d+""))*7,
         0)))
  )
, ""YYYY-M-D"")"),"2026-2-24")</f>
        <v>2026-2-24</v>
      </c>
    </row>
    <row r="29">
      <c r="A29" s="4" t="s">
        <v>144</v>
      </c>
      <c r="B29" s="4" t="s">
        <v>167</v>
      </c>
      <c r="C29" s="4" t="s">
        <v>168</v>
      </c>
      <c r="D29" s="4" t="s">
        <v>44</v>
      </c>
      <c r="E29" s="4" t="s">
        <v>17</v>
      </c>
      <c r="F29" s="4" t="s">
        <v>169</v>
      </c>
      <c r="G29" s="4" t="s">
        <v>170</v>
      </c>
      <c r="H29" s="4" t="s">
        <v>171</v>
      </c>
      <c r="I29" s="4" t="s">
        <v>172</v>
      </c>
      <c r="J29" s="4" t="s">
        <v>9</v>
      </c>
      <c r="K29" s="5">
        <v>46083.0</v>
      </c>
      <c r="L29" s="6" t="s">
        <v>22</v>
      </c>
      <c r="M29" s="7" t="str">
        <f>IFERROR(__xludf.DUMMYFUNCTION("TEXT(
  IF(RIGHT(A29,2)=""mo"",
    EDATE(DATEVALUE(K29), -VALUE(REGEXEXTRACT(A29,""\d+""))),
    DATEVALUE(K29) - IF(RIGHT(A29,1)=""h"", VALUE(REGEXEXTRACT(A29,""\d+""))/24,
         IF(RIGHT(A29,1)=""d"", VALUE(REGEXEXTRACT(A29,""\d+"")),
         IF(RI"&amp;"GHT(A29,1)=""w"", VALUE(REGEXEXTRACT(A29,""\d+""))*7,
         0)))
  )
, ""YYYY-M-D"")"),"2026-2-24")</f>
        <v>2026-2-24</v>
      </c>
    </row>
    <row r="30">
      <c r="A30" s="4" t="s">
        <v>173</v>
      </c>
      <c r="B30" s="4" t="s">
        <v>174</v>
      </c>
      <c r="C30" s="4" t="s">
        <v>15</v>
      </c>
      <c r="D30" s="4" t="s">
        <v>16</v>
      </c>
      <c r="E30" s="4" t="s">
        <v>17</v>
      </c>
      <c r="F30" s="4" t="s">
        <v>175</v>
      </c>
      <c r="G30" s="4" t="s">
        <v>176</v>
      </c>
      <c r="H30" s="4" t="s">
        <v>177</v>
      </c>
      <c r="I30" s="4" t="s">
        <v>178</v>
      </c>
      <c r="J30" s="4" t="s">
        <v>9</v>
      </c>
      <c r="K30" s="5">
        <v>46083.0</v>
      </c>
      <c r="L30" s="6" t="s">
        <v>22</v>
      </c>
      <c r="M30" s="7" t="str">
        <f>IFERROR(__xludf.DUMMYFUNCTION("TEXT(
  IF(RIGHT(A30,2)=""mo"",
    EDATE(DATEVALUE(K30), -VALUE(REGEXEXTRACT(A30,""\d+""))),
    DATEVALUE(K30) - IF(RIGHT(A30,1)=""h"", VALUE(REGEXEXTRACT(A30,""\d+""))/24,
         IF(RIGHT(A30,1)=""d"", VALUE(REGEXEXTRACT(A30,""\d+"")),
         IF(RI"&amp;"GHT(A30,1)=""w"", VALUE(REGEXEXTRACT(A30,""\d+""))*7,
         0)))
  )
, ""YYYY-M-D"")"),"2026-2-23")</f>
        <v>2026-2-23</v>
      </c>
    </row>
    <row r="31">
      <c r="A31" s="4" t="s">
        <v>173</v>
      </c>
      <c r="B31" s="4" t="s">
        <v>179</v>
      </c>
      <c r="C31" s="4" t="s">
        <v>15</v>
      </c>
      <c r="D31" s="4" t="s">
        <v>37</v>
      </c>
      <c r="E31" s="4" t="s">
        <v>180</v>
      </c>
      <c r="F31" s="4" t="s">
        <v>181</v>
      </c>
      <c r="G31" s="4" t="s">
        <v>182</v>
      </c>
      <c r="H31" s="4" t="s">
        <v>183</v>
      </c>
      <c r="I31" s="4" t="s">
        <v>184</v>
      </c>
      <c r="J31" s="4" t="s">
        <v>9</v>
      </c>
      <c r="K31" s="5">
        <v>46083.0</v>
      </c>
      <c r="L31" s="6" t="s">
        <v>22</v>
      </c>
      <c r="M31" s="7" t="str">
        <f>IFERROR(__xludf.DUMMYFUNCTION("TEXT(
  IF(RIGHT(A31,2)=""mo"",
    EDATE(DATEVALUE(K31), -VALUE(REGEXEXTRACT(A31,""\d+""))),
    DATEVALUE(K31) - IF(RIGHT(A31,1)=""h"", VALUE(REGEXEXTRACT(A31,""\d+""))/24,
         IF(RIGHT(A31,1)=""d"", VALUE(REGEXEXTRACT(A31,""\d+"")),
         IF(RI"&amp;"GHT(A31,1)=""w"", VALUE(REGEXEXTRACT(A31,""\d+""))*7,
         0)))
  )
, ""YYYY-M-D"")"),"2026-2-23")</f>
        <v>2026-2-23</v>
      </c>
    </row>
    <row r="32">
      <c r="A32" s="4" t="s">
        <v>173</v>
      </c>
      <c r="B32" s="4" t="s">
        <v>185</v>
      </c>
      <c r="C32" s="4" t="s">
        <v>15</v>
      </c>
      <c r="D32" s="4" t="s">
        <v>37</v>
      </c>
      <c r="E32" s="4" t="s">
        <v>17</v>
      </c>
      <c r="F32" s="4" t="s">
        <v>186</v>
      </c>
      <c r="G32" s="4" t="s">
        <v>187</v>
      </c>
      <c r="H32" s="4" t="s">
        <v>188</v>
      </c>
      <c r="I32" s="4" t="s">
        <v>189</v>
      </c>
      <c r="J32" s="4" t="s">
        <v>9</v>
      </c>
      <c r="K32" s="5">
        <v>46083.0</v>
      </c>
      <c r="L32" s="6" t="s">
        <v>22</v>
      </c>
      <c r="M32" s="7" t="str">
        <f>IFERROR(__xludf.DUMMYFUNCTION("TEXT(
  IF(RIGHT(A32,2)=""mo"",
    EDATE(DATEVALUE(K32), -VALUE(REGEXEXTRACT(A32,""\d+""))),
    DATEVALUE(K32) - IF(RIGHT(A32,1)=""h"", VALUE(REGEXEXTRACT(A32,""\d+""))/24,
         IF(RIGHT(A32,1)=""d"", VALUE(REGEXEXTRACT(A32,""\d+"")),
         IF(RI"&amp;"GHT(A32,1)=""w"", VALUE(REGEXEXTRACT(A32,""\d+""))*7,
         0)))
  )
, ""YYYY-M-D"")"),"2026-2-23")</f>
        <v>2026-2-23</v>
      </c>
    </row>
    <row r="33">
      <c r="A33" s="4" t="s">
        <v>173</v>
      </c>
      <c r="B33" s="4" t="s">
        <v>190</v>
      </c>
      <c r="C33" s="4" t="s">
        <v>15</v>
      </c>
      <c r="D33" s="4" t="s">
        <v>16</v>
      </c>
      <c r="E33" s="4" t="s">
        <v>17</v>
      </c>
      <c r="F33" s="4" t="s">
        <v>191</v>
      </c>
      <c r="G33" s="4" t="s">
        <v>192</v>
      </c>
      <c r="H33" s="4" t="s">
        <v>193</v>
      </c>
      <c r="I33" s="4" t="s">
        <v>194</v>
      </c>
      <c r="J33" s="4" t="s">
        <v>9</v>
      </c>
      <c r="K33" s="5">
        <v>46083.0</v>
      </c>
      <c r="L33" s="6" t="s">
        <v>22</v>
      </c>
      <c r="M33" s="7" t="str">
        <f>IFERROR(__xludf.DUMMYFUNCTION("TEXT(
  IF(RIGHT(A33,2)=""mo"",
    EDATE(DATEVALUE(K33), -VALUE(REGEXEXTRACT(A33,""\d+""))),
    DATEVALUE(K33) - IF(RIGHT(A33,1)=""h"", VALUE(REGEXEXTRACT(A33,""\d+""))/24,
         IF(RIGHT(A33,1)=""d"", VALUE(REGEXEXTRACT(A33,""\d+"")),
         IF(RI"&amp;"GHT(A33,1)=""w"", VALUE(REGEXEXTRACT(A33,""\d+""))*7,
         0)))
  )
, ""YYYY-M-D"")"),"2026-2-23")</f>
        <v>2026-2-23</v>
      </c>
    </row>
    <row r="34">
      <c r="A34" s="4" t="s">
        <v>173</v>
      </c>
      <c r="B34" s="4" t="s">
        <v>190</v>
      </c>
      <c r="C34" s="4" t="s">
        <v>15</v>
      </c>
      <c r="D34" s="4" t="s">
        <v>16</v>
      </c>
      <c r="E34" s="4" t="s">
        <v>17</v>
      </c>
      <c r="F34" s="4" t="s">
        <v>191</v>
      </c>
      <c r="G34" s="4" t="s">
        <v>195</v>
      </c>
      <c r="H34" s="4" t="s">
        <v>196</v>
      </c>
      <c r="I34" s="4" t="s">
        <v>197</v>
      </c>
      <c r="J34" s="4" t="s">
        <v>9</v>
      </c>
      <c r="K34" s="5">
        <v>46083.0</v>
      </c>
      <c r="L34" s="6" t="s">
        <v>22</v>
      </c>
      <c r="M34" s="7" t="str">
        <f>IFERROR(__xludf.DUMMYFUNCTION("TEXT(
  IF(RIGHT(A34,2)=""mo"",
    EDATE(DATEVALUE(K34), -VALUE(REGEXEXTRACT(A34,""\d+""))),
    DATEVALUE(K34) - IF(RIGHT(A34,1)=""h"", VALUE(REGEXEXTRACT(A34,""\d+""))/24,
         IF(RIGHT(A34,1)=""d"", VALUE(REGEXEXTRACT(A34,""\d+"")),
         IF(RI"&amp;"GHT(A34,1)=""w"", VALUE(REGEXEXTRACT(A34,""\d+""))*7,
         0)))
  )
, ""YYYY-M-D"")"),"2026-2-23")</f>
        <v>2026-2-23</v>
      </c>
    </row>
    <row r="35">
      <c r="A35" s="4" t="s">
        <v>173</v>
      </c>
      <c r="B35" s="4" t="s">
        <v>198</v>
      </c>
      <c r="C35" s="4" t="s">
        <v>15</v>
      </c>
      <c r="D35" s="4" t="s">
        <v>44</v>
      </c>
      <c r="E35" s="4" t="s">
        <v>17</v>
      </c>
      <c r="F35" s="4" t="s">
        <v>199</v>
      </c>
      <c r="G35" s="4" t="s">
        <v>200</v>
      </c>
      <c r="H35" s="4" t="s">
        <v>201</v>
      </c>
      <c r="I35" s="4" t="s">
        <v>202</v>
      </c>
      <c r="J35" s="4" t="s">
        <v>9</v>
      </c>
      <c r="K35" s="5">
        <v>46083.0</v>
      </c>
      <c r="L35" s="6" t="s">
        <v>22</v>
      </c>
      <c r="M35" s="7" t="str">
        <f>IFERROR(__xludf.DUMMYFUNCTION("TEXT(
  IF(RIGHT(A35,2)=""mo"",
    EDATE(DATEVALUE(K35), -VALUE(REGEXEXTRACT(A35,""\d+""))),
    DATEVALUE(K35) - IF(RIGHT(A35,1)=""h"", VALUE(REGEXEXTRACT(A35,""\d+""))/24,
         IF(RIGHT(A35,1)=""d"", VALUE(REGEXEXTRACT(A35,""\d+"")),
         IF(RI"&amp;"GHT(A35,1)=""w"", VALUE(REGEXEXTRACT(A35,""\d+""))*7,
         0)))
  )
, ""YYYY-M-D"")"),"2026-2-23")</f>
        <v>2026-2-23</v>
      </c>
    </row>
    <row r="36">
      <c r="A36" s="4" t="s">
        <v>173</v>
      </c>
      <c r="B36" s="4" t="s">
        <v>203</v>
      </c>
      <c r="C36" s="4" t="s">
        <v>15</v>
      </c>
      <c r="D36" s="4" t="s">
        <v>44</v>
      </c>
      <c r="E36" s="4" t="s">
        <v>17</v>
      </c>
      <c r="F36" s="4" t="s">
        <v>204</v>
      </c>
      <c r="G36" s="4" t="s">
        <v>205</v>
      </c>
      <c r="H36" s="4" t="s">
        <v>206</v>
      </c>
      <c r="I36" s="4" t="s">
        <v>207</v>
      </c>
      <c r="J36" s="4" t="s">
        <v>9</v>
      </c>
      <c r="K36" s="5">
        <v>46083.0</v>
      </c>
      <c r="L36" s="6" t="s">
        <v>22</v>
      </c>
      <c r="M36" s="7" t="str">
        <f>IFERROR(__xludf.DUMMYFUNCTION("TEXT(
  IF(RIGHT(A36,2)=""mo"",
    EDATE(DATEVALUE(K36), -VALUE(REGEXEXTRACT(A36,""\d+""))),
    DATEVALUE(K36) - IF(RIGHT(A36,1)=""h"", VALUE(REGEXEXTRACT(A36,""\d+""))/24,
         IF(RIGHT(A36,1)=""d"", VALUE(REGEXEXTRACT(A36,""\d+"")),
         IF(RI"&amp;"GHT(A36,1)=""w"", VALUE(REGEXEXTRACT(A36,""\d+""))*7,
         0)))
  )
, ""YYYY-M-D"")"),"2026-2-23")</f>
        <v>2026-2-23</v>
      </c>
    </row>
    <row r="37">
      <c r="A37" s="4" t="s">
        <v>173</v>
      </c>
      <c r="B37" s="4" t="s">
        <v>208</v>
      </c>
      <c r="C37" s="4" t="s">
        <v>118</v>
      </c>
      <c r="D37" s="4" t="s">
        <v>37</v>
      </c>
      <c r="E37" s="4" t="s">
        <v>17</v>
      </c>
      <c r="F37" s="4" t="s">
        <v>209</v>
      </c>
      <c r="G37" s="4" t="s">
        <v>210</v>
      </c>
      <c r="H37" s="4" t="s">
        <v>211</v>
      </c>
      <c r="I37" s="4" t="s">
        <v>212</v>
      </c>
      <c r="J37" s="4" t="s">
        <v>9</v>
      </c>
      <c r="K37" s="5">
        <v>46083.0</v>
      </c>
      <c r="L37" s="6" t="s">
        <v>22</v>
      </c>
      <c r="M37" s="7" t="str">
        <f>IFERROR(__xludf.DUMMYFUNCTION("TEXT(
  IF(RIGHT(A37,2)=""mo"",
    EDATE(DATEVALUE(K37), -VALUE(REGEXEXTRACT(A37,""\d+""))),
    DATEVALUE(K37) - IF(RIGHT(A37,1)=""h"", VALUE(REGEXEXTRACT(A37,""\d+""))/24,
         IF(RIGHT(A37,1)=""d"", VALUE(REGEXEXTRACT(A37,""\d+"")),
         IF(RI"&amp;"GHT(A37,1)=""w"", VALUE(REGEXEXTRACT(A37,""\d+""))*7,
         0)))
  )
, ""YYYY-M-D"")"),"2026-2-23")</f>
        <v>2026-2-23</v>
      </c>
    </row>
    <row r="38">
      <c r="A38" s="4" t="s">
        <v>173</v>
      </c>
      <c r="B38" s="4" t="s">
        <v>213</v>
      </c>
      <c r="C38" s="4" t="s">
        <v>15</v>
      </c>
      <c r="D38" s="4" t="s">
        <v>16</v>
      </c>
      <c r="E38" s="4" t="s">
        <v>61</v>
      </c>
      <c r="F38" s="4" t="s">
        <v>214</v>
      </c>
      <c r="G38" s="4" t="s">
        <v>215</v>
      </c>
      <c r="H38" s="4" t="s">
        <v>216</v>
      </c>
      <c r="I38" s="4" t="s">
        <v>217</v>
      </c>
      <c r="J38" s="4" t="s">
        <v>9</v>
      </c>
      <c r="K38" s="5">
        <v>46083.0</v>
      </c>
      <c r="L38" s="6" t="s">
        <v>22</v>
      </c>
      <c r="M38" s="7" t="str">
        <f>IFERROR(__xludf.DUMMYFUNCTION("TEXT(
  IF(RIGHT(A38,2)=""mo"",
    EDATE(DATEVALUE(K38), -VALUE(REGEXEXTRACT(A38,""\d+""))),
    DATEVALUE(K38) - IF(RIGHT(A38,1)=""h"", VALUE(REGEXEXTRACT(A38,""\d+""))/24,
         IF(RIGHT(A38,1)=""d"", VALUE(REGEXEXTRACT(A38,""\d+"")),
         IF(RI"&amp;"GHT(A38,1)=""w"", VALUE(REGEXEXTRACT(A38,""\d+""))*7,
         0)))
  )
, ""YYYY-M-D"")"),"2026-2-23")</f>
        <v>2026-2-23</v>
      </c>
    </row>
    <row r="39">
      <c r="A39" s="4" t="s">
        <v>173</v>
      </c>
      <c r="B39" s="4" t="s">
        <v>218</v>
      </c>
      <c r="C39" s="4" t="s">
        <v>15</v>
      </c>
      <c r="D39" s="4" t="s">
        <v>44</v>
      </c>
      <c r="E39" s="4" t="s">
        <v>17</v>
      </c>
      <c r="F39" s="4" t="s">
        <v>219</v>
      </c>
      <c r="G39" s="4" t="s">
        <v>220</v>
      </c>
      <c r="H39" s="4" t="s">
        <v>221</v>
      </c>
      <c r="I39" s="4" t="s">
        <v>222</v>
      </c>
      <c r="J39" s="4" t="s">
        <v>9</v>
      </c>
      <c r="K39" s="5">
        <v>46083.0</v>
      </c>
      <c r="L39" s="6" t="s">
        <v>22</v>
      </c>
      <c r="M39" s="7" t="str">
        <f>IFERROR(__xludf.DUMMYFUNCTION("TEXT(
  IF(RIGHT(A39,2)=""mo"",
    EDATE(DATEVALUE(K39), -VALUE(REGEXEXTRACT(A39,""\d+""))),
    DATEVALUE(K39) - IF(RIGHT(A39,1)=""h"", VALUE(REGEXEXTRACT(A39,""\d+""))/24,
         IF(RIGHT(A39,1)=""d"", VALUE(REGEXEXTRACT(A39,""\d+"")),
         IF(RI"&amp;"GHT(A39,1)=""w"", VALUE(REGEXEXTRACT(A39,""\d+""))*7,
         0)))
  )
, ""YYYY-M-D"")"),"2026-2-23")</f>
        <v>2026-2-23</v>
      </c>
    </row>
    <row r="40">
      <c r="A40" s="4" t="s">
        <v>173</v>
      </c>
      <c r="B40" s="4" t="s">
        <v>223</v>
      </c>
      <c r="C40" s="4" t="s">
        <v>15</v>
      </c>
      <c r="D40" s="4" t="s">
        <v>44</v>
      </c>
      <c r="E40" s="4" t="s">
        <v>17</v>
      </c>
      <c r="F40" s="4" t="s">
        <v>224</v>
      </c>
      <c r="G40" s="4" t="s">
        <v>225</v>
      </c>
      <c r="H40" s="4" t="s">
        <v>226</v>
      </c>
      <c r="I40" s="4" t="s">
        <v>227</v>
      </c>
      <c r="J40" s="4" t="s">
        <v>9</v>
      </c>
      <c r="K40" s="5">
        <v>46083.0</v>
      </c>
      <c r="L40" s="6" t="s">
        <v>22</v>
      </c>
      <c r="M40" s="7" t="str">
        <f>IFERROR(__xludf.DUMMYFUNCTION("TEXT(
  IF(RIGHT(A40,2)=""mo"",
    EDATE(DATEVALUE(K40), -VALUE(REGEXEXTRACT(A40,""\d+""))),
    DATEVALUE(K40) - IF(RIGHT(A40,1)=""h"", VALUE(REGEXEXTRACT(A40,""\d+""))/24,
         IF(RIGHT(A40,1)=""d"", VALUE(REGEXEXTRACT(A40,""\d+"")),
         IF(RI"&amp;"GHT(A40,1)=""w"", VALUE(REGEXEXTRACT(A40,""\d+""))*7,
         0)))
  )
, ""YYYY-M-D"")"),"2026-2-23")</f>
        <v>2026-2-23</v>
      </c>
    </row>
    <row r="41">
      <c r="A41" s="4" t="s">
        <v>173</v>
      </c>
      <c r="B41" s="4" t="s">
        <v>228</v>
      </c>
      <c r="C41" s="4" t="s">
        <v>15</v>
      </c>
      <c r="D41" s="4" t="s">
        <v>16</v>
      </c>
      <c r="E41" s="4" t="s">
        <v>17</v>
      </c>
      <c r="F41" s="4" t="s">
        <v>229</v>
      </c>
      <c r="G41" s="4" t="s">
        <v>230</v>
      </c>
      <c r="H41" s="4" t="s">
        <v>231</v>
      </c>
      <c r="I41" s="4" t="s">
        <v>232</v>
      </c>
      <c r="J41" s="4" t="s">
        <v>9</v>
      </c>
      <c r="K41" s="5">
        <v>46083.0</v>
      </c>
      <c r="L41" s="6" t="s">
        <v>22</v>
      </c>
      <c r="M41" s="7" t="str">
        <f>IFERROR(__xludf.DUMMYFUNCTION("TEXT(
  IF(RIGHT(A41,2)=""mo"",
    EDATE(DATEVALUE(K41), -VALUE(REGEXEXTRACT(A41,""\d+""))),
    DATEVALUE(K41) - IF(RIGHT(A41,1)=""h"", VALUE(REGEXEXTRACT(A41,""\d+""))/24,
         IF(RIGHT(A41,1)=""d"", VALUE(REGEXEXTRACT(A41,""\d+"")),
         IF(RI"&amp;"GHT(A41,1)=""w"", VALUE(REGEXEXTRACT(A41,""\d+""))*7,
         0)))
  )
, ""YYYY-M-D"")"),"2026-2-23")</f>
        <v>2026-2-23</v>
      </c>
    </row>
    <row r="42">
      <c r="A42" s="4" t="s">
        <v>173</v>
      </c>
      <c r="B42" s="4" t="s">
        <v>233</v>
      </c>
      <c r="C42" s="4" t="s">
        <v>234</v>
      </c>
      <c r="D42" s="4" t="s">
        <v>44</v>
      </c>
      <c r="E42" s="4" t="s">
        <v>17</v>
      </c>
      <c r="F42" s="4" t="s">
        <v>235</v>
      </c>
      <c r="G42" s="4" t="s">
        <v>236</v>
      </c>
      <c r="H42" s="4" t="s">
        <v>237</v>
      </c>
      <c r="I42" s="4" t="s">
        <v>238</v>
      </c>
      <c r="J42" s="4" t="s">
        <v>9</v>
      </c>
      <c r="K42" s="5">
        <v>46083.0</v>
      </c>
      <c r="L42" s="6" t="s">
        <v>22</v>
      </c>
      <c r="M42" s="7" t="str">
        <f>IFERROR(__xludf.DUMMYFUNCTION("TEXT(
  IF(RIGHT(A42,2)=""mo"",
    EDATE(DATEVALUE(K42), -VALUE(REGEXEXTRACT(A42,""\d+""))),
    DATEVALUE(K42) - IF(RIGHT(A42,1)=""h"", VALUE(REGEXEXTRACT(A42,""\d+""))/24,
         IF(RIGHT(A42,1)=""d"", VALUE(REGEXEXTRACT(A42,""\d+"")),
         IF(RI"&amp;"GHT(A42,1)=""w"", VALUE(REGEXEXTRACT(A42,""\d+""))*7,
         0)))
  )
, ""YYYY-M-D"")"),"2026-2-23")</f>
        <v>2026-2-23</v>
      </c>
    </row>
    <row r="43">
      <c r="A43" s="4" t="s">
        <v>239</v>
      </c>
      <c r="B43" s="4" t="s">
        <v>240</v>
      </c>
      <c r="C43" s="4" t="s">
        <v>15</v>
      </c>
      <c r="D43" s="4" t="s">
        <v>44</v>
      </c>
      <c r="E43" s="4" t="s">
        <v>17</v>
      </c>
      <c r="F43" s="4" t="s">
        <v>241</v>
      </c>
      <c r="G43" s="4" t="s">
        <v>242</v>
      </c>
      <c r="H43" s="4" t="s">
        <v>243</v>
      </c>
      <c r="I43" s="4" t="s">
        <v>244</v>
      </c>
      <c r="J43" s="4" t="s">
        <v>9</v>
      </c>
      <c r="K43" s="5">
        <v>46083.0</v>
      </c>
      <c r="L43" s="6" t="s">
        <v>22</v>
      </c>
      <c r="M43" s="7" t="str">
        <f>IFERROR(__xludf.DUMMYFUNCTION("TEXT(
  IF(RIGHT(A43,2)=""mo"",
    EDATE(DATEVALUE(K43), -VALUE(REGEXEXTRACT(A43,""\d+""))),
    DATEVALUE(K43) - IF(RIGHT(A43,1)=""h"", VALUE(REGEXEXTRACT(A43,""\d+""))/24,
         IF(RIGHT(A43,1)=""d"", VALUE(REGEXEXTRACT(A43,""\d+"")),
         IF(RI"&amp;"GHT(A43,1)=""w"", VALUE(REGEXEXTRACT(A43,""\d+""))*7,
         0)))
  )
, ""YYYY-M-D"")"),"2026-2-16")</f>
        <v>2026-2-16</v>
      </c>
    </row>
    <row r="44">
      <c r="A44" s="4" t="s">
        <v>239</v>
      </c>
      <c r="B44" s="4" t="s">
        <v>245</v>
      </c>
      <c r="C44" s="4" t="s">
        <v>246</v>
      </c>
      <c r="D44" s="4" t="s">
        <v>44</v>
      </c>
      <c r="E44" s="4" t="s">
        <v>17</v>
      </c>
      <c r="F44" s="4" t="s">
        <v>247</v>
      </c>
      <c r="G44" s="4" t="s">
        <v>248</v>
      </c>
      <c r="H44" s="4" t="s">
        <v>249</v>
      </c>
      <c r="I44" s="4" t="s">
        <v>250</v>
      </c>
      <c r="J44" s="4" t="s">
        <v>9</v>
      </c>
      <c r="K44" s="5">
        <v>46083.0</v>
      </c>
      <c r="L44" s="6" t="s">
        <v>22</v>
      </c>
      <c r="M44" s="7" t="str">
        <f>IFERROR(__xludf.DUMMYFUNCTION("TEXT(
  IF(RIGHT(A44,2)=""mo"",
    EDATE(DATEVALUE(K44), -VALUE(REGEXEXTRACT(A44,""\d+""))),
    DATEVALUE(K44) - IF(RIGHT(A44,1)=""h"", VALUE(REGEXEXTRACT(A44,""\d+""))/24,
         IF(RIGHT(A44,1)=""d"", VALUE(REGEXEXTRACT(A44,""\d+"")),
         IF(RI"&amp;"GHT(A44,1)=""w"", VALUE(REGEXEXTRACT(A44,""\d+""))*7,
         0)))
  )
, ""YYYY-M-D"")"),"2026-2-16")</f>
        <v>2026-2-16</v>
      </c>
    </row>
    <row r="45">
      <c r="A45" s="4" t="s">
        <v>239</v>
      </c>
      <c r="B45" s="4" t="s">
        <v>240</v>
      </c>
      <c r="C45" s="4" t="s">
        <v>15</v>
      </c>
      <c r="D45" s="4" t="s">
        <v>44</v>
      </c>
      <c r="E45" s="4" t="s">
        <v>17</v>
      </c>
      <c r="F45" s="4" t="s">
        <v>251</v>
      </c>
      <c r="G45" s="4" t="s">
        <v>252</v>
      </c>
      <c r="H45" s="4" t="s">
        <v>253</v>
      </c>
      <c r="I45" s="4" t="s">
        <v>254</v>
      </c>
      <c r="J45" s="4" t="s">
        <v>9</v>
      </c>
      <c r="K45" s="5">
        <v>46083.0</v>
      </c>
      <c r="L45" s="6" t="s">
        <v>22</v>
      </c>
      <c r="M45" s="7" t="str">
        <f>IFERROR(__xludf.DUMMYFUNCTION("TEXT(
  IF(RIGHT(A45,2)=""mo"",
    EDATE(DATEVALUE(K45), -VALUE(REGEXEXTRACT(A45,""\d+""))),
    DATEVALUE(K45) - IF(RIGHT(A45,1)=""h"", VALUE(REGEXEXTRACT(A45,""\d+""))/24,
         IF(RIGHT(A45,1)=""d"", VALUE(REGEXEXTRACT(A45,""\d+"")),
         IF(RI"&amp;"GHT(A45,1)=""w"", VALUE(REGEXEXTRACT(A45,""\d+""))*7,
         0)))
  )
, ""YYYY-M-D"")"),"2026-2-16")</f>
        <v>2026-2-16</v>
      </c>
    </row>
    <row r="46">
      <c r="A46" s="4" t="s">
        <v>239</v>
      </c>
      <c r="B46" s="4" t="s">
        <v>255</v>
      </c>
      <c r="C46" s="4" t="s">
        <v>256</v>
      </c>
      <c r="D46" s="4" t="s">
        <v>37</v>
      </c>
      <c r="E46" s="4" t="s">
        <v>17</v>
      </c>
      <c r="F46" s="4" t="s">
        <v>257</v>
      </c>
      <c r="G46" s="4" t="s">
        <v>258</v>
      </c>
      <c r="H46" s="4" t="s">
        <v>259</v>
      </c>
      <c r="I46" s="4" t="s">
        <v>260</v>
      </c>
      <c r="J46" s="4" t="s">
        <v>9</v>
      </c>
      <c r="K46" s="5">
        <v>46083.0</v>
      </c>
      <c r="L46" s="6" t="s">
        <v>22</v>
      </c>
      <c r="M46" s="7" t="str">
        <f>IFERROR(__xludf.DUMMYFUNCTION("TEXT(
  IF(RIGHT(A46,2)=""mo"",
    EDATE(DATEVALUE(K46), -VALUE(REGEXEXTRACT(A46,""\d+""))),
    DATEVALUE(K46) - IF(RIGHT(A46,1)=""h"", VALUE(REGEXEXTRACT(A46,""\d+""))/24,
         IF(RIGHT(A46,1)=""d"", VALUE(REGEXEXTRACT(A46,""\d+"")),
         IF(RI"&amp;"GHT(A46,1)=""w"", VALUE(REGEXEXTRACT(A46,""\d+""))*7,
         0)))
  )
, ""YYYY-M-D"")"),"2026-2-16")</f>
        <v>2026-2-16</v>
      </c>
    </row>
    <row r="47">
      <c r="A47" s="4" t="s">
        <v>239</v>
      </c>
      <c r="B47" s="4" t="s">
        <v>261</v>
      </c>
      <c r="C47" s="4" t="s">
        <v>262</v>
      </c>
      <c r="D47" s="4" t="s">
        <v>37</v>
      </c>
      <c r="E47" s="4" t="s">
        <v>30</v>
      </c>
      <c r="F47" s="4" t="s">
        <v>263</v>
      </c>
      <c r="G47" s="4" t="s">
        <v>264</v>
      </c>
      <c r="H47" s="4" t="s">
        <v>265</v>
      </c>
      <c r="I47" s="4" t="s">
        <v>266</v>
      </c>
      <c r="J47" s="4" t="s">
        <v>9</v>
      </c>
      <c r="K47" s="5">
        <v>46083.0</v>
      </c>
      <c r="L47" s="6" t="s">
        <v>22</v>
      </c>
      <c r="M47" s="7" t="str">
        <f>IFERROR(__xludf.DUMMYFUNCTION("TEXT(
  IF(RIGHT(A47,2)=""mo"",
    EDATE(DATEVALUE(K47), -VALUE(REGEXEXTRACT(A47,""\d+""))),
    DATEVALUE(K47) - IF(RIGHT(A47,1)=""h"", VALUE(REGEXEXTRACT(A47,""\d+""))/24,
         IF(RIGHT(A47,1)=""d"", VALUE(REGEXEXTRACT(A47,""\d+"")),
         IF(RI"&amp;"GHT(A47,1)=""w"", VALUE(REGEXEXTRACT(A47,""\d+""))*7,
         0)))
  )
, ""YYYY-M-D"")"),"2026-2-16")</f>
        <v>2026-2-16</v>
      </c>
    </row>
    <row r="48">
      <c r="A48" s="4" t="s">
        <v>239</v>
      </c>
      <c r="B48" s="4" t="s">
        <v>267</v>
      </c>
      <c r="C48" s="4" t="s">
        <v>268</v>
      </c>
      <c r="D48" s="4" t="s">
        <v>37</v>
      </c>
      <c r="E48" s="4" t="s">
        <v>17</v>
      </c>
      <c r="F48" s="4" t="s">
        <v>269</v>
      </c>
      <c r="G48" s="4" t="s">
        <v>270</v>
      </c>
      <c r="H48" s="4" t="s">
        <v>271</v>
      </c>
      <c r="I48" s="4" t="s">
        <v>272</v>
      </c>
      <c r="J48" s="4" t="s">
        <v>9</v>
      </c>
      <c r="K48" s="5">
        <v>46083.0</v>
      </c>
      <c r="L48" s="6" t="s">
        <v>22</v>
      </c>
      <c r="M48" s="7" t="str">
        <f>IFERROR(__xludf.DUMMYFUNCTION("TEXT(
  IF(RIGHT(A48,2)=""mo"",
    EDATE(DATEVALUE(K48), -VALUE(REGEXEXTRACT(A48,""\d+""))),
    DATEVALUE(K48) - IF(RIGHT(A48,1)=""h"", VALUE(REGEXEXTRACT(A48,""\d+""))/24,
         IF(RIGHT(A48,1)=""d"", VALUE(REGEXEXTRACT(A48,""\d+"")),
         IF(RI"&amp;"GHT(A48,1)=""w"", VALUE(REGEXEXTRACT(A48,""\d+""))*7,
         0)))
  )
, ""YYYY-M-D"")"),"2026-2-16")</f>
        <v>2026-2-16</v>
      </c>
    </row>
    <row r="49">
      <c r="A49" s="4" t="s">
        <v>239</v>
      </c>
      <c r="B49" s="4" t="s">
        <v>273</v>
      </c>
      <c r="C49" s="4" t="s">
        <v>274</v>
      </c>
      <c r="D49" s="4" t="s">
        <v>37</v>
      </c>
      <c r="E49" s="4" t="s">
        <v>17</v>
      </c>
      <c r="F49" s="4" t="s">
        <v>275</v>
      </c>
      <c r="G49" s="4" t="s">
        <v>276</v>
      </c>
      <c r="H49" s="4" t="s">
        <v>277</v>
      </c>
      <c r="I49" s="4" t="s">
        <v>278</v>
      </c>
      <c r="J49" s="4" t="s">
        <v>9</v>
      </c>
      <c r="K49" s="5">
        <v>46083.0</v>
      </c>
      <c r="L49" s="6" t="s">
        <v>22</v>
      </c>
      <c r="M49" s="7" t="str">
        <f>IFERROR(__xludf.DUMMYFUNCTION("TEXT(
  IF(RIGHT(A49,2)=""mo"",
    EDATE(DATEVALUE(K49), -VALUE(REGEXEXTRACT(A49,""\d+""))),
    DATEVALUE(K49) - IF(RIGHT(A49,1)=""h"", VALUE(REGEXEXTRACT(A49,""\d+""))/24,
         IF(RIGHT(A49,1)=""d"", VALUE(REGEXEXTRACT(A49,""\d+"")),
         IF(RI"&amp;"GHT(A49,1)=""w"", VALUE(REGEXEXTRACT(A49,""\d+""))*7,
         0)))
  )
, ""YYYY-M-D"")"),"2026-2-16")</f>
        <v>2026-2-16</v>
      </c>
    </row>
    <row r="50">
      <c r="A50" s="4" t="s">
        <v>239</v>
      </c>
      <c r="B50" s="4" t="s">
        <v>279</v>
      </c>
      <c r="C50" s="4" t="s">
        <v>15</v>
      </c>
      <c r="D50" s="4" t="s">
        <v>16</v>
      </c>
      <c r="E50" s="4" t="s">
        <v>17</v>
      </c>
      <c r="F50" s="4" t="s">
        <v>280</v>
      </c>
      <c r="G50" s="4" t="s">
        <v>281</v>
      </c>
      <c r="H50" s="4" t="s">
        <v>282</v>
      </c>
      <c r="I50" s="4" t="s">
        <v>283</v>
      </c>
      <c r="J50" s="4" t="s">
        <v>9</v>
      </c>
      <c r="K50" s="5">
        <v>46083.0</v>
      </c>
      <c r="L50" s="6" t="s">
        <v>22</v>
      </c>
      <c r="M50" s="7" t="str">
        <f>IFERROR(__xludf.DUMMYFUNCTION("TEXT(
  IF(RIGHT(A50,2)=""mo"",
    EDATE(DATEVALUE(K50), -VALUE(REGEXEXTRACT(A50,""\d+""))),
    DATEVALUE(K50) - IF(RIGHT(A50,1)=""h"", VALUE(REGEXEXTRACT(A50,""\d+""))/24,
         IF(RIGHT(A50,1)=""d"", VALUE(REGEXEXTRACT(A50,""\d+"")),
         IF(RI"&amp;"GHT(A50,1)=""w"", VALUE(REGEXEXTRACT(A50,""\d+""))*7,
         0)))
  )
, ""YYYY-M-D"")"),"2026-2-16")</f>
        <v>2026-2-16</v>
      </c>
    </row>
    <row r="51">
      <c r="A51" s="4" t="s">
        <v>239</v>
      </c>
      <c r="B51" s="4" t="s">
        <v>284</v>
      </c>
      <c r="C51" s="4" t="s">
        <v>285</v>
      </c>
      <c r="D51" s="4" t="s">
        <v>16</v>
      </c>
      <c r="E51" s="4" t="s">
        <v>17</v>
      </c>
      <c r="F51" s="4" t="s">
        <v>286</v>
      </c>
      <c r="G51" s="4" t="s">
        <v>287</v>
      </c>
      <c r="H51" s="4" t="s">
        <v>288</v>
      </c>
      <c r="I51" s="4" t="s">
        <v>289</v>
      </c>
      <c r="J51" s="4" t="s">
        <v>9</v>
      </c>
      <c r="K51" s="5">
        <v>46083.0</v>
      </c>
      <c r="L51" s="6" t="s">
        <v>22</v>
      </c>
      <c r="M51" s="7" t="str">
        <f>IFERROR(__xludf.DUMMYFUNCTION("TEXT(
  IF(RIGHT(A51,2)=""mo"",
    EDATE(DATEVALUE(K51), -VALUE(REGEXEXTRACT(A51,""\d+""))),
    DATEVALUE(K51) - IF(RIGHT(A51,1)=""h"", VALUE(REGEXEXTRACT(A51,""\d+""))/24,
         IF(RIGHT(A51,1)=""d"", VALUE(REGEXEXTRACT(A51,""\d+"")),
         IF(RI"&amp;"GHT(A51,1)=""w"", VALUE(REGEXEXTRACT(A51,""\d+""))*7,
         0)))
  )
, ""YYYY-M-D"")"),"2026-2-16")</f>
        <v>2026-2-16</v>
      </c>
    </row>
    <row r="52">
      <c r="A52" s="4" t="s">
        <v>239</v>
      </c>
      <c r="B52" s="4" t="s">
        <v>290</v>
      </c>
      <c r="C52" s="4" t="s">
        <v>118</v>
      </c>
      <c r="D52" s="4" t="s">
        <v>37</v>
      </c>
      <c r="E52" s="4" t="s">
        <v>17</v>
      </c>
      <c r="F52" s="4" t="s">
        <v>291</v>
      </c>
      <c r="G52" s="4" t="s">
        <v>292</v>
      </c>
      <c r="H52" s="4" t="s">
        <v>293</v>
      </c>
      <c r="I52" s="4" t="s">
        <v>294</v>
      </c>
      <c r="J52" s="4" t="s">
        <v>9</v>
      </c>
      <c r="K52" s="5">
        <v>46083.0</v>
      </c>
      <c r="L52" s="6" t="s">
        <v>22</v>
      </c>
      <c r="M52" s="7" t="str">
        <f>IFERROR(__xludf.DUMMYFUNCTION("TEXT(
  IF(RIGHT(A52,2)=""mo"",
    EDATE(DATEVALUE(K52), -VALUE(REGEXEXTRACT(A52,""\d+""))),
    DATEVALUE(K52) - IF(RIGHT(A52,1)=""h"", VALUE(REGEXEXTRACT(A52,""\d+""))/24,
         IF(RIGHT(A52,1)=""d"", VALUE(REGEXEXTRACT(A52,""\d+"")),
         IF(RI"&amp;"GHT(A52,1)=""w"", VALUE(REGEXEXTRACT(A52,""\d+""))*7,
         0)))
  )
, ""YYYY-M-D"")"),"2026-2-16")</f>
        <v>2026-2-16</v>
      </c>
    </row>
    <row r="53">
      <c r="A53" s="4" t="s">
        <v>239</v>
      </c>
      <c r="B53" s="4" t="s">
        <v>295</v>
      </c>
      <c r="C53" s="4" t="s">
        <v>118</v>
      </c>
      <c r="D53" s="4" t="s">
        <v>37</v>
      </c>
      <c r="E53" s="4" t="s">
        <v>17</v>
      </c>
      <c r="F53" s="4" t="s">
        <v>296</v>
      </c>
      <c r="G53" s="4" t="s">
        <v>297</v>
      </c>
      <c r="H53" s="4" t="s">
        <v>298</v>
      </c>
      <c r="I53" s="4" t="s">
        <v>299</v>
      </c>
      <c r="J53" s="4" t="s">
        <v>9</v>
      </c>
      <c r="K53" s="5">
        <v>46083.0</v>
      </c>
      <c r="L53" s="6" t="s">
        <v>22</v>
      </c>
      <c r="M53" s="7" t="str">
        <f>IFERROR(__xludf.DUMMYFUNCTION("TEXT(
  IF(RIGHT(A53,2)=""mo"",
    EDATE(DATEVALUE(K53), -VALUE(REGEXEXTRACT(A53,""\d+""))),
    DATEVALUE(K53) - IF(RIGHT(A53,1)=""h"", VALUE(REGEXEXTRACT(A53,""\d+""))/24,
         IF(RIGHT(A53,1)=""d"", VALUE(REGEXEXTRACT(A53,""\d+"")),
         IF(RI"&amp;"GHT(A53,1)=""w"", VALUE(REGEXEXTRACT(A53,""\d+""))*7,
         0)))
  )
, ""YYYY-M-D"")"),"2026-2-16")</f>
        <v>2026-2-16</v>
      </c>
    </row>
    <row r="54">
      <c r="A54" s="4" t="s">
        <v>239</v>
      </c>
      <c r="B54" s="4" t="s">
        <v>300</v>
      </c>
      <c r="C54" s="4" t="s">
        <v>15</v>
      </c>
      <c r="D54" s="4" t="s">
        <v>16</v>
      </c>
      <c r="E54" s="4" t="s">
        <v>17</v>
      </c>
      <c r="F54" s="4" t="s">
        <v>301</v>
      </c>
      <c r="G54" s="4" t="s">
        <v>302</v>
      </c>
      <c r="H54" s="4" t="s">
        <v>303</v>
      </c>
      <c r="I54" s="4" t="s">
        <v>304</v>
      </c>
      <c r="J54" s="4" t="s">
        <v>9</v>
      </c>
      <c r="K54" s="5">
        <v>46083.0</v>
      </c>
      <c r="L54" s="6" t="s">
        <v>22</v>
      </c>
      <c r="M54" s="7" t="str">
        <f>IFERROR(__xludf.DUMMYFUNCTION("TEXT(
  IF(RIGHT(A54,2)=""mo"",
    EDATE(DATEVALUE(K54), -VALUE(REGEXEXTRACT(A54,""\d+""))),
    DATEVALUE(K54) - IF(RIGHT(A54,1)=""h"", VALUE(REGEXEXTRACT(A54,""\d+""))/24,
         IF(RIGHT(A54,1)=""d"", VALUE(REGEXEXTRACT(A54,""\d+"")),
         IF(RI"&amp;"GHT(A54,1)=""w"", VALUE(REGEXEXTRACT(A54,""\d+""))*7,
         0)))
  )
, ""YYYY-M-D"")"),"2026-2-16")</f>
        <v>2026-2-16</v>
      </c>
    </row>
    <row r="55">
      <c r="A55" s="4" t="s">
        <v>239</v>
      </c>
      <c r="B55" s="4" t="s">
        <v>305</v>
      </c>
      <c r="C55" s="4" t="s">
        <v>15</v>
      </c>
      <c r="D55" s="4" t="s">
        <v>16</v>
      </c>
      <c r="E55" s="4" t="s">
        <v>17</v>
      </c>
      <c r="F55" s="4" t="s">
        <v>306</v>
      </c>
      <c r="G55" s="4" t="s">
        <v>307</v>
      </c>
      <c r="H55" s="4" t="s">
        <v>308</v>
      </c>
      <c r="I55" s="4" t="s">
        <v>309</v>
      </c>
      <c r="J55" s="4" t="s">
        <v>9</v>
      </c>
      <c r="K55" s="5">
        <v>46083.0</v>
      </c>
      <c r="L55" s="6" t="s">
        <v>22</v>
      </c>
      <c r="M55" s="7" t="str">
        <f>IFERROR(__xludf.DUMMYFUNCTION("TEXT(
  IF(RIGHT(A55,2)=""mo"",
    EDATE(DATEVALUE(K55), -VALUE(REGEXEXTRACT(A55,""\d+""))),
    DATEVALUE(K55) - IF(RIGHT(A55,1)=""h"", VALUE(REGEXEXTRACT(A55,""\d+""))/24,
         IF(RIGHT(A55,1)=""d"", VALUE(REGEXEXTRACT(A55,""\d+"")),
         IF(RI"&amp;"GHT(A55,1)=""w"", VALUE(REGEXEXTRACT(A55,""\d+""))*7,
         0)))
  )
, ""YYYY-M-D"")"),"2026-2-16")</f>
        <v>2026-2-16</v>
      </c>
    </row>
    <row r="56">
      <c r="A56" s="4" t="s">
        <v>239</v>
      </c>
      <c r="B56" s="4" t="s">
        <v>310</v>
      </c>
      <c r="C56" s="4" t="s">
        <v>15</v>
      </c>
      <c r="D56" s="4" t="s">
        <v>44</v>
      </c>
      <c r="E56" s="4" t="s">
        <v>17</v>
      </c>
      <c r="F56" s="4" t="s">
        <v>311</v>
      </c>
      <c r="G56" s="4" t="s">
        <v>312</v>
      </c>
      <c r="H56" s="4" t="s">
        <v>313</v>
      </c>
      <c r="I56" s="4" t="s">
        <v>314</v>
      </c>
      <c r="J56" s="4" t="s">
        <v>9</v>
      </c>
      <c r="K56" s="5">
        <v>46083.0</v>
      </c>
      <c r="L56" s="6" t="s">
        <v>22</v>
      </c>
      <c r="M56" s="7" t="str">
        <f>IFERROR(__xludf.DUMMYFUNCTION("TEXT(
  IF(RIGHT(A56,2)=""mo"",
    EDATE(DATEVALUE(K56), -VALUE(REGEXEXTRACT(A56,""\d+""))),
    DATEVALUE(K56) - IF(RIGHT(A56,1)=""h"", VALUE(REGEXEXTRACT(A56,""\d+""))/24,
         IF(RIGHT(A56,1)=""d"", VALUE(REGEXEXTRACT(A56,""\d+"")),
         IF(RI"&amp;"GHT(A56,1)=""w"", VALUE(REGEXEXTRACT(A56,""\d+""))*7,
         0)))
  )
, ""YYYY-M-D"")"),"2026-2-16")</f>
        <v>2026-2-16</v>
      </c>
    </row>
    <row r="57">
      <c r="A57" s="4" t="s">
        <v>239</v>
      </c>
      <c r="B57" s="4" t="s">
        <v>315</v>
      </c>
      <c r="C57" s="4" t="s">
        <v>316</v>
      </c>
      <c r="D57" s="4" t="s">
        <v>16</v>
      </c>
      <c r="E57" s="4" t="s">
        <v>17</v>
      </c>
      <c r="F57" s="4" t="s">
        <v>317</v>
      </c>
      <c r="G57" s="4" t="s">
        <v>318</v>
      </c>
      <c r="H57" s="4" t="s">
        <v>319</v>
      </c>
      <c r="I57" s="4" t="s">
        <v>320</v>
      </c>
      <c r="J57" s="4" t="s">
        <v>9</v>
      </c>
      <c r="K57" s="5">
        <v>46083.0</v>
      </c>
      <c r="L57" s="6" t="s">
        <v>22</v>
      </c>
      <c r="M57" s="7" t="str">
        <f>IFERROR(__xludf.DUMMYFUNCTION("TEXT(
  IF(RIGHT(A57,2)=""mo"",
    EDATE(DATEVALUE(K57), -VALUE(REGEXEXTRACT(A57,""\d+""))),
    DATEVALUE(K57) - IF(RIGHT(A57,1)=""h"", VALUE(REGEXEXTRACT(A57,""\d+""))/24,
         IF(RIGHT(A57,1)=""d"", VALUE(REGEXEXTRACT(A57,""\d+"")),
         IF(RI"&amp;"GHT(A57,1)=""w"", VALUE(REGEXEXTRACT(A57,""\d+""))*7,
         0)))
  )
, ""YYYY-M-D"")"),"2026-2-16")</f>
        <v>2026-2-16</v>
      </c>
    </row>
    <row r="58">
      <c r="A58" s="4" t="s">
        <v>321</v>
      </c>
      <c r="B58" s="4" t="s">
        <v>315</v>
      </c>
      <c r="C58" s="4" t="s">
        <v>316</v>
      </c>
      <c r="D58" s="4" t="s">
        <v>16</v>
      </c>
      <c r="E58" s="4" t="s">
        <v>17</v>
      </c>
      <c r="F58" s="4" t="s">
        <v>317</v>
      </c>
      <c r="G58" s="4" t="s">
        <v>322</v>
      </c>
      <c r="H58" s="4" t="s">
        <v>323</v>
      </c>
      <c r="I58" s="4" t="s">
        <v>324</v>
      </c>
      <c r="J58" s="4" t="s">
        <v>9</v>
      </c>
      <c r="K58" s="5">
        <v>46083.0</v>
      </c>
      <c r="L58" s="6" t="s">
        <v>22</v>
      </c>
      <c r="M58" s="7" t="str">
        <f>IFERROR(__xludf.DUMMYFUNCTION("TEXT(
  IF(RIGHT(A58,2)=""mo"",
    EDATE(DATEVALUE(K58), -VALUE(REGEXEXTRACT(A58,""\d+""))),
    DATEVALUE(K58) - IF(RIGHT(A58,1)=""h"", VALUE(REGEXEXTRACT(A58,""\d+""))/24,
         IF(RIGHT(A58,1)=""d"", VALUE(REGEXEXTRACT(A58,""\d+"")),
         IF(RI"&amp;"GHT(A58,1)=""w"", VALUE(REGEXEXTRACT(A58,""\d+""))*7,
         0)))
  )
, ""YYYY-M-D"")"),"2026-2-9")</f>
        <v>2026-2-9</v>
      </c>
    </row>
    <row r="59">
      <c r="A59" s="4" t="s">
        <v>321</v>
      </c>
      <c r="B59" s="4" t="s">
        <v>325</v>
      </c>
      <c r="C59" s="4" t="s">
        <v>326</v>
      </c>
      <c r="D59" s="4" t="s">
        <v>37</v>
      </c>
      <c r="E59" s="4" t="s">
        <v>17</v>
      </c>
      <c r="F59" s="4" t="s">
        <v>327</v>
      </c>
      <c r="G59" s="4" t="s">
        <v>328</v>
      </c>
      <c r="H59" s="4" t="s">
        <v>329</v>
      </c>
      <c r="I59" s="4" t="s">
        <v>330</v>
      </c>
      <c r="J59" s="4" t="s">
        <v>9</v>
      </c>
      <c r="K59" s="5">
        <v>46083.0</v>
      </c>
      <c r="L59" s="6" t="s">
        <v>22</v>
      </c>
      <c r="M59" s="7" t="str">
        <f>IFERROR(__xludf.DUMMYFUNCTION("TEXT(
  IF(RIGHT(A59,2)=""mo"",
    EDATE(DATEVALUE(K59), -VALUE(REGEXEXTRACT(A59,""\d+""))),
    DATEVALUE(K59) - IF(RIGHT(A59,1)=""h"", VALUE(REGEXEXTRACT(A59,""\d+""))/24,
         IF(RIGHT(A59,1)=""d"", VALUE(REGEXEXTRACT(A59,""\d+"")),
         IF(RI"&amp;"GHT(A59,1)=""w"", VALUE(REGEXEXTRACT(A59,""\d+""))*7,
         0)))
  )
, ""YYYY-M-D"")"),"2026-2-9")</f>
        <v>2026-2-9</v>
      </c>
    </row>
    <row r="60">
      <c r="A60" s="4" t="s">
        <v>321</v>
      </c>
      <c r="B60" s="4" t="s">
        <v>331</v>
      </c>
      <c r="C60" s="4" t="s">
        <v>15</v>
      </c>
      <c r="D60" s="4" t="s">
        <v>16</v>
      </c>
      <c r="E60" s="4" t="s">
        <v>17</v>
      </c>
      <c r="F60" s="4" t="s">
        <v>332</v>
      </c>
      <c r="G60" s="4" t="s">
        <v>333</v>
      </c>
      <c r="H60" s="4" t="s">
        <v>334</v>
      </c>
      <c r="I60" s="4" t="s">
        <v>335</v>
      </c>
      <c r="J60" s="4" t="s">
        <v>9</v>
      </c>
      <c r="K60" s="5">
        <v>46083.0</v>
      </c>
      <c r="L60" s="6" t="s">
        <v>22</v>
      </c>
      <c r="M60" s="7" t="str">
        <f>IFERROR(__xludf.DUMMYFUNCTION("TEXT(
  IF(RIGHT(A60,2)=""mo"",
    EDATE(DATEVALUE(K60), -VALUE(REGEXEXTRACT(A60,""\d+""))),
    DATEVALUE(K60) - IF(RIGHT(A60,1)=""h"", VALUE(REGEXEXTRACT(A60,""\d+""))/24,
         IF(RIGHT(A60,1)=""d"", VALUE(REGEXEXTRACT(A60,""\d+"")),
         IF(RI"&amp;"GHT(A60,1)=""w"", VALUE(REGEXEXTRACT(A60,""\d+""))*7,
         0)))
  )
, ""YYYY-M-D"")"),"2026-2-9")</f>
        <v>2026-2-9</v>
      </c>
    </row>
    <row r="61">
      <c r="A61" s="4" t="s">
        <v>321</v>
      </c>
      <c r="B61" s="4" t="s">
        <v>336</v>
      </c>
      <c r="C61" s="4" t="s">
        <v>15</v>
      </c>
      <c r="D61" s="4" t="s">
        <v>44</v>
      </c>
      <c r="E61" s="4" t="s">
        <v>17</v>
      </c>
      <c r="F61" s="4" t="s">
        <v>337</v>
      </c>
      <c r="G61" s="4" t="s">
        <v>338</v>
      </c>
      <c r="H61" s="4" t="s">
        <v>339</v>
      </c>
      <c r="I61" s="4" t="s">
        <v>340</v>
      </c>
      <c r="J61" s="4" t="s">
        <v>9</v>
      </c>
      <c r="K61" s="5">
        <v>46083.0</v>
      </c>
      <c r="L61" s="6" t="s">
        <v>22</v>
      </c>
      <c r="M61" s="7" t="str">
        <f>IFERROR(__xludf.DUMMYFUNCTION("TEXT(
  IF(RIGHT(A61,2)=""mo"",
    EDATE(DATEVALUE(K61), -VALUE(REGEXEXTRACT(A61,""\d+""))),
    DATEVALUE(K61) - IF(RIGHT(A61,1)=""h"", VALUE(REGEXEXTRACT(A61,""\d+""))/24,
         IF(RIGHT(A61,1)=""d"", VALUE(REGEXEXTRACT(A61,""\d+"")),
         IF(RI"&amp;"GHT(A61,1)=""w"", VALUE(REGEXEXTRACT(A61,""\d+""))*7,
         0)))
  )
, ""YYYY-M-D"")"),"2026-2-9")</f>
        <v>2026-2-9</v>
      </c>
    </row>
    <row r="62">
      <c r="A62" s="4" t="s">
        <v>321</v>
      </c>
      <c r="B62" s="4" t="s">
        <v>341</v>
      </c>
      <c r="C62" s="4" t="s">
        <v>118</v>
      </c>
      <c r="D62" s="4" t="s">
        <v>37</v>
      </c>
      <c r="E62" s="4" t="s">
        <v>17</v>
      </c>
      <c r="F62" s="4" t="s">
        <v>342</v>
      </c>
      <c r="G62" s="4" t="s">
        <v>343</v>
      </c>
      <c r="H62" s="4" t="s">
        <v>344</v>
      </c>
      <c r="I62" s="4" t="s">
        <v>345</v>
      </c>
      <c r="J62" s="4" t="s">
        <v>9</v>
      </c>
      <c r="K62" s="5">
        <v>46083.0</v>
      </c>
      <c r="L62" s="6" t="s">
        <v>22</v>
      </c>
      <c r="M62" s="7" t="str">
        <f>IFERROR(__xludf.DUMMYFUNCTION("TEXT(
  IF(RIGHT(A62,2)=""mo"",
    EDATE(DATEVALUE(K62), -VALUE(REGEXEXTRACT(A62,""\d+""))),
    DATEVALUE(K62) - IF(RIGHT(A62,1)=""h"", VALUE(REGEXEXTRACT(A62,""\d+""))/24,
         IF(RIGHT(A62,1)=""d"", VALUE(REGEXEXTRACT(A62,""\d+"")),
         IF(RI"&amp;"GHT(A62,1)=""w"", VALUE(REGEXEXTRACT(A62,""\d+""))*7,
         0)))
  )
, ""YYYY-M-D"")"),"2026-2-9")</f>
        <v>2026-2-9</v>
      </c>
    </row>
    <row r="63">
      <c r="A63" s="4" t="s">
        <v>321</v>
      </c>
      <c r="B63" s="4" t="s">
        <v>346</v>
      </c>
      <c r="C63" s="4" t="s">
        <v>15</v>
      </c>
      <c r="D63" s="4" t="s">
        <v>44</v>
      </c>
      <c r="E63" s="4" t="s">
        <v>67</v>
      </c>
      <c r="F63" s="4" t="s">
        <v>347</v>
      </c>
      <c r="G63" s="4" t="s">
        <v>348</v>
      </c>
      <c r="H63" s="4" t="s">
        <v>349</v>
      </c>
      <c r="I63" s="4" t="s">
        <v>350</v>
      </c>
      <c r="J63" s="4" t="s">
        <v>9</v>
      </c>
      <c r="K63" s="5">
        <v>46083.0</v>
      </c>
      <c r="L63" s="6" t="s">
        <v>22</v>
      </c>
      <c r="M63" s="7" t="str">
        <f>IFERROR(__xludf.DUMMYFUNCTION("TEXT(
  IF(RIGHT(A63,2)=""mo"",
    EDATE(DATEVALUE(K63), -VALUE(REGEXEXTRACT(A63,""\d+""))),
    DATEVALUE(K63) - IF(RIGHT(A63,1)=""h"", VALUE(REGEXEXTRACT(A63,""\d+""))/24,
         IF(RIGHT(A63,1)=""d"", VALUE(REGEXEXTRACT(A63,""\d+"")),
         IF(RI"&amp;"GHT(A63,1)=""w"", VALUE(REGEXEXTRACT(A63,""\d+""))*7,
         0)))
  )
, ""YYYY-M-D"")"),"2026-2-9")</f>
        <v>2026-2-9</v>
      </c>
    </row>
    <row r="64">
      <c r="A64" s="4" t="s">
        <v>321</v>
      </c>
      <c r="B64" s="4" t="s">
        <v>351</v>
      </c>
      <c r="C64" s="4" t="s">
        <v>15</v>
      </c>
      <c r="D64" s="4" t="s">
        <v>16</v>
      </c>
      <c r="E64" s="4" t="s">
        <v>17</v>
      </c>
      <c r="F64" s="4" t="s">
        <v>352</v>
      </c>
      <c r="G64" s="4" t="s">
        <v>353</v>
      </c>
      <c r="H64" s="4" t="s">
        <v>354</v>
      </c>
      <c r="I64" s="4" t="s">
        <v>355</v>
      </c>
      <c r="J64" s="4" t="s">
        <v>9</v>
      </c>
      <c r="K64" s="5">
        <v>46083.0</v>
      </c>
      <c r="L64" s="6" t="s">
        <v>22</v>
      </c>
      <c r="M64" s="7" t="str">
        <f>IFERROR(__xludf.DUMMYFUNCTION("TEXT(
  IF(RIGHT(A64,2)=""mo"",
    EDATE(DATEVALUE(K64), -VALUE(REGEXEXTRACT(A64,""\d+""))),
    DATEVALUE(K64) - IF(RIGHT(A64,1)=""h"", VALUE(REGEXEXTRACT(A64,""\d+""))/24,
         IF(RIGHT(A64,1)=""d"", VALUE(REGEXEXTRACT(A64,""\d+"")),
         IF(RI"&amp;"GHT(A64,1)=""w"", VALUE(REGEXEXTRACT(A64,""\d+""))*7,
         0)))
  )
, ""YYYY-M-D"")"),"2026-2-9")</f>
        <v>2026-2-9</v>
      </c>
    </row>
    <row r="65">
      <c r="A65" s="4" t="s">
        <v>321</v>
      </c>
      <c r="B65" s="4" t="s">
        <v>356</v>
      </c>
      <c r="C65" s="4" t="s">
        <v>15</v>
      </c>
      <c r="D65" s="4" t="s">
        <v>44</v>
      </c>
      <c r="E65" s="4" t="s">
        <v>61</v>
      </c>
      <c r="F65" s="4" t="s">
        <v>357</v>
      </c>
      <c r="G65" s="4" t="s">
        <v>358</v>
      </c>
      <c r="H65" s="4" t="s">
        <v>359</v>
      </c>
      <c r="I65" s="4" t="s">
        <v>360</v>
      </c>
      <c r="J65" s="4" t="s">
        <v>9</v>
      </c>
      <c r="K65" s="5">
        <v>46083.0</v>
      </c>
      <c r="L65" s="6" t="s">
        <v>22</v>
      </c>
      <c r="M65" s="7" t="str">
        <f>IFERROR(__xludf.DUMMYFUNCTION("TEXT(
  IF(RIGHT(A65,2)=""mo"",
    EDATE(DATEVALUE(K65), -VALUE(REGEXEXTRACT(A65,""\d+""))),
    DATEVALUE(K65) - IF(RIGHT(A65,1)=""h"", VALUE(REGEXEXTRACT(A65,""\d+""))/24,
         IF(RIGHT(A65,1)=""d"", VALUE(REGEXEXTRACT(A65,""\d+"")),
         IF(RI"&amp;"GHT(A65,1)=""w"", VALUE(REGEXEXTRACT(A65,""\d+""))*7,
         0)))
  )
, ""YYYY-M-D"")"),"2026-2-9")</f>
        <v>2026-2-9</v>
      </c>
    </row>
    <row r="66">
      <c r="A66" s="4" t="s">
        <v>321</v>
      </c>
      <c r="B66" s="4" t="s">
        <v>361</v>
      </c>
      <c r="C66" s="4" t="s">
        <v>15</v>
      </c>
      <c r="D66" s="4" t="s">
        <v>16</v>
      </c>
      <c r="E66" s="4" t="s">
        <v>17</v>
      </c>
      <c r="F66" s="4" t="s">
        <v>362</v>
      </c>
      <c r="G66" s="4" t="s">
        <v>363</v>
      </c>
      <c r="H66" s="4" t="s">
        <v>364</v>
      </c>
      <c r="I66" s="4" t="s">
        <v>365</v>
      </c>
      <c r="J66" s="4" t="s">
        <v>9</v>
      </c>
      <c r="K66" s="5">
        <v>46083.0</v>
      </c>
      <c r="L66" s="6" t="s">
        <v>22</v>
      </c>
      <c r="M66" s="7" t="str">
        <f>IFERROR(__xludf.DUMMYFUNCTION("TEXT(
  IF(RIGHT(A66,2)=""mo"",
    EDATE(DATEVALUE(K66), -VALUE(REGEXEXTRACT(A66,""\d+""))),
    DATEVALUE(K66) - IF(RIGHT(A66,1)=""h"", VALUE(REGEXEXTRACT(A66,""\d+""))/24,
         IF(RIGHT(A66,1)=""d"", VALUE(REGEXEXTRACT(A66,""\d+"")),
         IF(RI"&amp;"GHT(A66,1)=""w"", VALUE(REGEXEXTRACT(A66,""\d+""))*7,
         0)))
  )
, ""YYYY-M-D"")"),"2026-2-9")</f>
        <v>2026-2-9</v>
      </c>
    </row>
    <row r="67">
      <c r="A67" s="4" t="s">
        <v>321</v>
      </c>
      <c r="B67" s="4" t="s">
        <v>223</v>
      </c>
      <c r="C67" s="4" t="s">
        <v>118</v>
      </c>
      <c r="D67" s="4" t="s">
        <v>37</v>
      </c>
      <c r="E67" s="4" t="s">
        <v>17</v>
      </c>
      <c r="F67" s="4" t="s">
        <v>366</v>
      </c>
      <c r="G67" s="4" t="s">
        <v>367</v>
      </c>
      <c r="H67" s="4" t="s">
        <v>368</v>
      </c>
      <c r="I67" s="4" t="s">
        <v>369</v>
      </c>
      <c r="J67" s="4" t="s">
        <v>9</v>
      </c>
      <c r="K67" s="5">
        <v>46083.0</v>
      </c>
      <c r="L67" s="6" t="s">
        <v>22</v>
      </c>
      <c r="M67" s="7" t="str">
        <f>IFERROR(__xludf.DUMMYFUNCTION("TEXT(
  IF(RIGHT(A67,2)=""mo"",
    EDATE(DATEVALUE(K67), -VALUE(REGEXEXTRACT(A67,""\d+""))),
    DATEVALUE(K67) - IF(RIGHT(A67,1)=""h"", VALUE(REGEXEXTRACT(A67,""\d+""))/24,
         IF(RIGHT(A67,1)=""d"", VALUE(REGEXEXTRACT(A67,""\d+"")),
         IF(RI"&amp;"GHT(A67,1)=""w"", VALUE(REGEXEXTRACT(A67,""\d+""))*7,
         0)))
  )
, ""YYYY-M-D"")"),"2026-2-9")</f>
        <v>2026-2-9</v>
      </c>
    </row>
    <row r="68">
      <c r="A68" s="4" t="s">
        <v>370</v>
      </c>
      <c r="B68" s="4" t="s">
        <v>371</v>
      </c>
      <c r="C68" s="4" t="s">
        <v>15</v>
      </c>
      <c r="D68" s="4" t="s">
        <v>16</v>
      </c>
      <c r="E68" s="4" t="s">
        <v>17</v>
      </c>
      <c r="F68" s="4" t="s">
        <v>372</v>
      </c>
      <c r="G68" s="4" t="s">
        <v>373</v>
      </c>
      <c r="H68" s="4" t="s">
        <v>374</v>
      </c>
      <c r="I68" s="4" t="s">
        <v>375</v>
      </c>
      <c r="J68" s="4" t="s">
        <v>9</v>
      </c>
      <c r="K68" s="5">
        <v>46083.0</v>
      </c>
      <c r="L68" s="6" t="s">
        <v>22</v>
      </c>
      <c r="M68" s="7" t="str">
        <f>IFERROR(__xludf.DUMMYFUNCTION("TEXT(
  IF(RIGHT(A68,2)=""mo"",
    EDATE(DATEVALUE(K68), -VALUE(REGEXEXTRACT(A68,""\d+""))),
    DATEVALUE(K68) - IF(RIGHT(A68,1)=""h"", VALUE(REGEXEXTRACT(A68,""\d+""))/24,
         IF(RIGHT(A68,1)=""d"", VALUE(REGEXEXTRACT(A68,""\d+"")),
         IF(RI"&amp;"GHT(A68,1)=""w"", VALUE(REGEXEXTRACT(A68,""\d+""))*7,
         0)))
  )
, ""YYYY-M-D"")"),"2026-2-2")</f>
        <v>2026-2-2</v>
      </c>
    </row>
    <row r="69">
      <c r="A69" s="4" t="s">
        <v>370</v>
      </c>
      <c r="B69" s="4" t="s">
        <v>255</v>
      </c>
      <c r="C69" s="4" t="s">
        <v>15</v>
      </c>
      <c r="D69" s="4" t="s">
        <v>44</v>
      </c>
      <c r="E69" s="4" t="s">
        <v>17</v>
      </c>
      <c r="F69" s="4" t="s">
        <v>376</v>
      </c>
      <c r="G69" s="4" t="s">
        <v>377</v>
      </c>
      <c r="H69" s="4" t="s">
        <v>378</v>
      </c>
      <c r="I69" s="4" t="s">
        <v>21</v>
      </c>
      <c r="J69" s="4" t="s">
        <v>9</v>
      </c>
      <c r="K69" s="5">
        <v>46083.0</v>
      </c>
      <c r="L69" s="6" t="s">
        <v>22</v>
      </c>
      <c r="M69" s="7" t="str">
        <f>IFERROR(__xludf.DUMMYFUNCTION("TEXT(
  IF(RIGHT(A69,2)=""mo"",
    EDATE(DATEVALUE(K69), -VALUE(REGEXEXTRACT(A69,""\d+""))),
    DATEVALUE(K69) - IF(RIGHT(A69,1)=""h"", VALUE(REGEXEXTRACT(A69,""\d+""))/24,
         IF(RIGHT(A69,1)=""d"", VALUE(REGEXEXTRACT(A69,""\d+"")),
         IF(RI"&amp;"GHT(A69,1)=""w"", VALUE(REGEXEXTRACT(A69,""\d+""))*7,
         0)))
  )
, ""YYYY-M-D"")"),"2026-2-2")</f>
        <v>2026-2-2</v>
      </c>
    </row>
    <row r="70">
      <c r="A70" s="4" t="s">
        <v>379</v>
      </c>
      <c r="B70" s="4" t="s">
        <v>380</v>
      </c>
      <c r="C70" s="4" t="s">
        <v>15</v>
      </c>
      <c r="D70" s="4" t="s">
        <v>16</v>
      </c>
      <c r="E70" s="4" t="s">
        <v>17</v>
      </c>
      <c r="F70" s="4" t="s">
        <v>381</v>
      </c>
      <c r="G70" s="4" t="s">
        <v>382</v>
      </c>
      <c r="H70" s="4" t="s">
        <v>383</v>
      </c>
      <c r="I70" s="4" t="s">
        <v>384</v>
      </c>
      <c r="J70" s="4" t="s">
        <v>9</v>
      </c>
      <c r="K70" s="5">
        <v>46083.0</v>
      </c>
      <c r="L70" s="6" t="s">
        <v>22</v>
      </c>
      <c r="M70" s="7" t="str">
        <f>IFERROR(__xludf.DUMMYFUNCTION("TEXT(
  IF(RIGHT(A70,2)=""mo"",
    EDATE(DATEVALUE(K70), -VALUE(REGEXEXTRACT(A70,""\d+""))),
    DATEVALUE(K70) - IF(RIGHT(A70,1)=""h"", VALUE(REGEXEXTRACT(A70,""\d+""))/24,
         IF(RIGHT(A70,1)=""d"", VALUE(REGEXEXTRACT(A70,""\d+"")),
         IF(RI"&amp;"GHT(A70,1)=""w"", VALUE(REGEXEXTRACT(A70,""\d+""))*7,
         0)))
  )
, ""YYYY-M-D"")"),"2026-2-2")</f>
        <v>2026-2-2</v>
      </c>
    </row>
    <row r="71">
      <c r="A71" s="4" t="s">
        <v>379</v>
      </c>
      <c r="B71" s="4" t="s">
        <v>385</v>
      </c>
      <c r="C71" s="4" t="s">
        <v>15</v>
      </c>
      <c r="D71" s="4" t="s">
        <v>16</v>
      </c>
      <c r="E71" s="4" t="s">
        <v>17</v>
      </c>
      <c r="F71" s="4" t="s">
        <v>381</v>
      </c>
      <c r="G71" s="4" t="s">
        <v>386</v>
      </c>
      <c r="H71" s="4" t="s">
        <v>387</v>
      </c>
      <c r="I71" s="4" t="s">
        <v>388</v>
      </c>
      <c r="J71" s="4" t="s">
        <v>9</v>
      </c>
      <c r="K71" s="5">
        <v>46083.0</v>
      </c>
      <c r="L71" s="6" t="s">
        <v>22</v>
      </c>
      <c r="M71" s="7" t="str">
        <f>IFERROR(__xludf.DUMMYFUNCTION("TEXT(
  IF(RIGHT(A71,2)=""mo"",
    EDATE(DATEVALUE(K71), -VALUE(REGEXEXTRACT(A71,""\d+""))),
    DATEVALUE(K71) - IF(RIGHT(A71,1)=""h"", VALUE(REGEXEXTRACT(A71,""\d+""))/24,
         IF(RIGHT(A71,1)=""d"", VALUE(REGEXEXTRACT(A71,""\d+"")),
         IF(RI"&amp;"GHT(A71,1)=""w"", VALUE(REGEXEXTRACT(A71,""\d+""))*7,
         0)))
  )
, ""YYYY-M-D"")"),"2026-2-2")</f>
        <v>2026-2-2</v>
      </c>
    </row>
    <row r="72">
      <c r="A72" s="4" t="s">
        <v>379</v>
      </c>
      <c r="B72" s="4" t="s">
        <v>389</v>
      </c>
      <c r="C72" s="4" t="s">
        <v>168</v>
      </c>
      <c r="D72" s="4" t="s">
        <v>16</v>
      </c>
      <c r="E72" s="4" t="s">
        <v>17</v>
      </c>
      <c r="F72" s="4" t="s">
        <v>390</v>
      </c>
      <c r="G72" s="4" t="s">
        <v>391</v>
      </c>
      <c r="H72" s="4" t="s">
        <v>392</v>
      </c>
      <c r="I72" s="4" t="s">
        <v>393</v>
      </c>
      <c r="J72" s="4" t="s">
        <v>9</v>
      </c>
      <c r="K72" s="5">
        <v>46083.0</v>
      </c>
      <c r="L72" s="6" t="s">
        <v>22</v>
      </c>
      <c r="M72" s="7" t="str">
        <f>IFERROR(__xludf.DUMMYFUNCTION("TEXT(
  IF(RIGHT(A72,2)=""mo"",
    EDATE(DATEVALUE(K72), -VALUE(REGEXEXTRACT(A72,""\d+""))),
    DATEVALUE(K72) - IF(RIGHT(A72,1)=""h"", VALUE(REGEXEXTRACT(A72,""\d+""))/24,
         IF(RIGHT(A72,1)=""d"", VALUE(REGEXEXTRACT(A72,""\d+"")),
         IF(RI"&amp;"GHT(A72,1)=""w"", VALUE(REGEXEXTRACT(A72,""\d+""))*7,
         0)))
  )
, ""YYYY-M-D"")"),"2026-2-2")</f>
        <v>2026-2-2</v>
      </c>
    </row>
    <row r="73">
      <c r="A73" s="4" t="s">
        <v>379</v>
      </c>
      <c r="B73" s="4" t="s">
        <v>394</v>
      </c>
      <c r="C73" s="4" t="s">
        <v>15</v>
      </c>
      <c r="D73" s="4" t="s">
        <v>16</v>
      </c>
      <c r="E73" s="4" t="s">
        <v>17</v>
      </c>
      <c r="F73" s="4" t="s">
        <v>395</v>
      </c>
      <c r="G73" s="4" t="s">
        <v>396</v>
      </c>
      <c r="H73" s="4" t="s">
        <v>397</v>
      </c>
      <c r="I73" s="4" t="s">
        <v>398</v>
      </c>
      <c r="J73" s="4" t="s">
        <v>9</v>
      </c>
      <c r="K73" s="5">
        <v>46083.0</v>
      </c>
      <c r="L73" s="6" t="s">
        <v>22</v>
      </c>
      <c r="M73" s="7" t="str">
        <f>IFERROR(__xludf.DUMMYFUNCTION("TEXT(
  IF(RIGHT(A73,2)=""mo"",
    EDATE(DATEVALUE(K73), -VALUE(REGEXEXTRACT(A73,""\d+""))),
    DATEVALUE(K73) - IF(RIGHT(A73,1)=""h"", VALUE(REGEXEXTRACT(A73,""\d+""))/24,
         IF(RIGHT(A73,1)=""d"", VALUE(REGEXEXTRACT(A73,""\d+"")),
         IF(RI"&amp;"GHT(A73,1)=""w"", VALUE(REGEXEXTRACT(A73,""\d+""))*7,
         0)))
  )
, ""YYYY-M-D"")"),"2026-2-2")</f>
        <v>2026-2-2</v>
      </c>
    </row>
    <row r="74">
      <c r="A74" s="4" t="s">
        <v>379</v>
      </c>
      <c r="B74" s="4" t="s">
        <v>399</v>
      </c>
      <c r="C74" s="4" t="s">
        <v>400</v>
      </c>
      <c r="D74" s="4" t="s">
        <v>37</v>
      </c>
      <c r="E74" s="4" t="s">
        <v>17</v>
      </c>
      <c r="F74" s="4" t="s">
        <v>401</v>
      </c>
      <c r="G74" s="4" t="s">
        <v>402</v>
      </c>
      <c r="H74" s="4" t="s">
        <v>403</v>
      </c>
      <c r="I74" s="4" t="s">
        <v>404</v>
      </c>
      <c r="J74" s="4" t="s">
        <v>9</v>
      </c>
      <c r="K74" s="5">
        <v>46083.0</v>
      </c>
      <c r="L74" s="6" t="s">
        <v>22</v>
      </c>
      <c r="M74" s="7" t="str">
        <f>IFERROR(__xludf.DUMMYFUNCTION("TEXT(
  IF(RIGHT(A74,2)=""mo"",
    EDATE(DATEVALUE(K74), -VALUE(REGEXEXTRACT(A74,""\d+""))),
    DATEVALUE(K74) - IF(RIGHT(A74,1)=""h"", VALUE(REGEXEXTRACT(A74,""\d+""))/24,
         IF(RIGHT(A74,1)=""d"", VALUE(REGEXEXTRACT(A74,""\d+"")),
         IF(RI"&amp;"GHT(A74,1)=""w"", VALUE(REGEXEXTRACT(A74,""\d+""))*7,
         0)))
  )
, ""YYYY-M-D"")"),"2026-2-2")</f>
        <v>2026-2-2</v>
      </c>
    </row>
    <row r="75">
      <c r="A75" s="4" t="s">
        <v>379</v>
      </c>
      <c r="B75" s="4" t="s">
        <v>405</v>
      </c>
      <c r="C75" s="4" t="s">
        <v>326</v>
      </c>
      <c r="D75" s="4" t="s">
        <v>37</v>
      </c>
      <c r="E75" s="4" t="s">
        <v>17</v>
      </c>
      <c r="F75" s="4" t="s">
        <v>406</v>
      </c>
      <c r="G75" s="4" t="s">
        <v>407</v>
      </c>
      <c r="H75" s="4" t="s">
        <v>408</v>
      </c>
      <c r="I75" s="4" t="s">
        <v>409</v>
      </c>
      <c r="J75" s="4" t="s">
        <v>9</v>
      </c>
      <c r="K75" s="5">
        <v>46083.0</v>
      </c>
      <c r="L75" s="6" t="s">
        <v>22</v>
      </c>
      <c r="M75" s="7" t="str">
        <f>IFERROR(__xludf.DUMMYFUNCTION("TEXT(
  IF(RIGHT(A75,2)=""mo"",
    EDATE(DATEVALUE(K75), -VALUE(REGEXEXTRACT(A75,""\d+""))),
    DATEVALUE(K75) - IF(RIGHT(A75,1)=""h"", VALUE(REGEXEXTRACT(A75,""\d+""))/24,
         IF(RIGHT(A75,1)=""d"", VALUE(REGEXEXTRACT(A75,""\d+"")),
         IF(RI"&amp;"GHT(A75,1)=""w"", VALUE(REGEXEXTRACT(A75,""\d+""))*7,
         0)))
  )
, ""YYYY-M-D"")"),"2026-2-2")</f>
        <v>2026-2-2</v>
      </c>
    </row>
    <row r="76">
      <c r="A76" s="4" t="s">
        <v>379</v>
      </c>
      <c r="B76" s="4" t="s">
        <v>140</v>
      </c>
      <c r="C76" s="4" t="s">
        <v>410</v>
      </c>
      <c r="D76" s="4" t="s">
        <v>37</v>
      </c>
      <c r="E76" s="4" t="s">
        <v>17</v>
      </c>
      <c r="F76" s="4" t="s">
        <v>411</v>
      </c>
      <c r="G76" s="4" t="s">
        <v>412</v>
      </c>
      <c r="H76" s="4" t="s">
        <v>413</v>
      </c>
      <c r="I76" s="4" t="s">
        <v>414</v>
      </c>
      <c r="J76" s="4" t="s">
        <v>9</v>
      </c>
      <c r="K76" s="5">
        <v>46083.0</v>
      </c>
      <c r="L76" s="6" t="s">
        <v>22</v>
      </c>
      <c r="M76" s="7" t="str">
        <f>IFERROR(__xludf.DUMMYFUNCTION("TEXT(
  IF(RIGHT(A76,2)=""mo"",
    EDATE(DATEVALUE(K76), -VALUE(REGEXEXTRACT(A76,""\d+""))),
    DATEVALUE(K76) - IF(RIGHT(A76,1)=""h"", VALUE(REGEXEXTRACT(A76,""\d+""))/24,
         IF(RIGHT(A76,1)=""d"", VALUE(REGEXEXTRACT(A76,""\d+"")),
         IF(RI"&amp;"GHT(A76,1)=""w"", VALUE(REGEXEXTRACT(A76,""\d+""))*7,
         0)))
  )
, ""YYYY-M-D"")"),"2026-2-2")</f>
        <v>2026-2-2</v>
      </c>
    </row>
    <row r="77">
      <c r="A77" s="4" t="s">
        <v>379</v>
      </c>
      <c r="B77" s="4" t="s">
        <v>415</v>
      </c>
      <c r="C77" s="4" t="s">
        <v>15</v>
      </c>
      <c r="D77" s="4" t="s">
        <v>44</v>
      </c>
      <c r="E77" s="4" t="s">
        <v>17</v>
      </c>
      <c r="F77" s="4" t="s">
        <v>416</v>
      </c>
      <c r="G77" s="4" t="s">
        <v>417</v>
      </c>
      <c r="H77" s="4" t="s">
        <v>418</v>
      </c>
      <c r="I77" s="4" t="s">
        <v>419</v>
      </c>
      <c r="J77" s="4" t="s">
        <v>9</v>
      </c>
      <c r="K77" s="5">
        <v>46083.0</v>
      </c>
      <c r="L77" s="6" t="s">
        <v>22</v>
      </c>
      <c r="M77" s="7" t="str">
        <f>IFERROR(__xludf.DUMMYFUNCTION("TEXT(
  IF(RIGHT(A77,2)=""mo"",
    EDATE(DATEVALUE(K77), -VALUE(REGEXEXTRACT(A77,""\d+""))),
    DATEVALUE(K77) - IF(RIGHT(A77,1)=""h"", VALUE(REGEXEXTRACT(A77,""\d+""))/24,
         IF(RIGHT(A77,1)=""d"", VALUE(REGEXEXTRACT(A77,""\d+"")),
         IF(RI"&amp;"GHT(A77,1)=""w"", VALUE(REGEXEXTRACT(A77,""\d+""))*7,
         0)))
  )
, ""YYYY-M-D"")"),"2026-2-2")</f>
        <v>2026-2-2</v>
      </c>
    </row>
    <row r="78">
      <c r="A78" s="4" t="s">
        <v>379</v>
      </c>
      <c r="B78" s="4" t="s">
        <v>420</v>
      </c>
      <c r="C78" s="4" t="s">
        <v>15</v>
      </c>
      <c r="D78" s="4" t="s">
        <v>16</v>
      </c>
      <c r="E78" s="4" t="s">
        <v>421</v>
      </c>
      <c r="F78" s="4" t="s">
        <v>422</v>
      </c>
      <c r="G78" s="4" t="s">
        <v>423</v>
      </c>
      <c r="H78" s="4" t="s">
        <v>424</v>
      </c>
      <c r="I78" s="4" t="s">
        <v>425</v>
      </c>
      <c r="J78" s="4" t="s">
        <v>9</v>
      </c>
      <c r="K78" s="5">
        <v>46083.0</v>
      </c>
      <c r="L78" s="6" t="s">
        <v>22</v>
      </c>
      <c r="M78" s="7" t="str">
        <f>IFERROR(__xludf.DUMMYFUNCTION("TEXT(
  IF(RIGHT(A78,2)=""mo"",
    EDATE(DATEVALUE(K78), -VALUE(REGEXEXTRACT(A78,""\d+""))),
    DATEVALUE(K78) - IF(RIGHT(A78,1)=""h"", VALUE(REGEXEXTRACT(A78,""\d+""))/24,
         IF(RIGHT(A78,1)=""d"", VALUE(REGEXEXTRACT(A78,""\d+"")),
         IF(RI"&amp;"GHT(A78,1)=""w"", VALUE(REGEXEXTRACT(A78,""\d+""))*7,
         0)))
  )
, ""YYYY-M-D"")"),"2026-2-2")</f>
        <v>2026-2-2</v>
      </c>
    </row>
    <row r="79">
      <c r="A79" s="4" t="s">
        <v>379</v>
      </c>
      <c r="B79" s="4" t="s">
        <v>394</v>
      </c>
      <c r="C79" s="4" t="s">
        <v>426</v>
      </c>
      <c r="D79" s="4" t="s">
        <v>37</v>
      </c>
      <c r="E79" s="4" t="s">
        <v>17</v>
      </c>
      <c r="F79" s="4" t="s">
        <v>427</v>
      </c>
      <c r="G79" s="4" t="s">
        <v>428</v>
      </c>
      <c r="H79" s="4" t="s">
        <v>429</v>
      </c>
      <c r="I79" s="4" t="s">
        <v>430</v>
      </c>
      <c r="J79" s="4" t="s">
        <v>9</v>
      </c>
      <c r="K79" s="5">
        <v>46083.0</v>
      </c>
      <c r="L79" s="6" t="s">
        <v>22</v>
      </c>
      <c r="M79" s="7" t="str">
        <f>IFERROR(__xludf.DUMMYFUNCTION("TEXT(
  IF(RIGHT(A79,2)=""mo"",
    EDATE(DATEVALUE(K79), -VALUE(REGEXEXTRACT(A79,""\d+""))),
    DATEVALUE(K79) - IF(RIGHT(A79,1)=""h"", VALUE(REGEXEXTRACT(A79,""\d+""))/24,
         IF(RIGHT(A79,1)=""d"", VALUE(REGEXEXTRACT(A79,""\d+"")),
         IF(RI"&amp;"GHT(A79,1)=""w"", VALUE(REGEXEXTRACT(A79,""\d+""))*7,
         0)))
  )
, ""YYYY-M-D"")"),"2026-2-2")</f>
        <v>2026-2-2</v>
      </c>
    </row>
    <row r="80">
      <c r="A80" s="4" t="s">
        <v>379</v>
      </c>
      <c r="B80" s="4" t="s">
        <v>431</v>
      </c>
      <c r="C80" s="4" t="s">
        <v>432</v>
      </c>
      <c r="D80" s="4" t="s">
        <v>37</v>
      </c>
      <c r="E80" s="4" t="s">
        <v>17</v>
      </c>
      <c r="F80" s="4" t="s">
        <v>433</v>
      </c>
      <c r="G80" s="4" t="s">
        <v>434</v>
      </c>
      <c r="H80" s="4" t="s">
        <v>435</v>
      </c>
      <c r="I80" s="4" t="s">
        <v>436</v>
      </c>
      <c r="J80" s="4" t="s">
        <v>9</v>
      </c>
      <c r="K80" s="5">
        <v>46083.0</v>
      </c>
      <c r="L80" s="6" t="s">
        <v>22</v>
      </c>
      <c r="M80" s="7" t="str">
        <f>IFERROR(__xludf.DUMMYFUNCTION("TEXT(
  IF(RIGHT(A80,2)=""mo"",
    EDATE(DATEVALUE(K80), -VALUE(REGEXEXTRACT(A80,""\d+""))),
    DATEVALUE(K80) - IF(RIGHT(A80,1)=""h"", VALUE(REGEXEXTRACT(A80,""\d+""))/24,
         IF(RIGHT(A80,1)=""d"", VALUE(REGEXEXTRACT(A80,""\d+"")),
         IF(RI"&amp;"GHT(A80,1)=""w"", VALUE(REGEXEXTRACT(A80,""\d+""))*7,
         0)))
  )
, ""YYYY-M-D"")"),"2026-2-2")</f>
        <v>2026-2-2</v>
      </c>
    </row>
    <row r="81">
      <c r="A81" s="4" t="s">
        <v>379</v>
      </c>
      <c r="B81" s="4" t="s">
        <v>437</v>
      </c>
      <c r="C81" s="4" t="s">
        <v>438</v>
      </c>
      <c r="D81" s="4" t="s">
        <v>16</v>
      </c>
      <c r="E81" s="4" t="s">
        <v>17</v>
      </c>
      <c r="F81" s="4" t="s">
        <v>439</v>
      </c>
      <c r="G81" s="4" t="s">
        <v>440</v>
      </c>
      <c r="H81" s="4" t="s">
        <v>441</v>
      </c>
      <c r="I81" s="4" t="s">
        <v>442</v>
      </c>
      <c r="J81" s="4" t="s">
        <v>9</v>
      </c>
      <c r="K81" s="5">
        <v>46083.0</v>
      </c>
      <c r="L81" s="6" t="s">
        <v>22</v>
      </c>
      <c r="M81" s="7" t="str">
        <f>IFERROR(__xludf.DUMMYFUNCTION("TEXT(
  IF(RIGHT(A81,2)=""mo"",
    EDATE(DATEVALUE(K81), -VALUE(REGEXEXTRACT(A81,""\d+""))),
    DATEVALUE(K81) - IF(RIGHT(A81,1)=""h"", VALUE(REGEXEXTRACT(A81,""\d+""))/24,
         IF(RIGHT(A81,1)=""d"", VALUE(REGEXEXTRACT(A81,""\d+"")),
         IF(RI"&amp;"GHT(A81,1)=""w"", VALUE(REGEXEXTRACT(A81,""\d+""))*7,
         0)))
  )
, ""YYYY-M-D"")"),"2026-2-2")</f>
        <v>2026-2-2</v>
      </c>
    </row>
    <row r="82">
      <c r="A82" s="4" t="s">
        <v>379</v>
      </c>
      <c r="B82" s="4" t="s">
        <v>443</v>
      </c>
      <c r="C82" s="4" t="s">
        <v>15</v>
      </c>
      <c r="D82" s="4" t="s">
        <v>44</v>
      </c>
      <c r="E82" s="4" t="s">
        <v>17</v>
      </c>
      <c r="F82" s="4" t="s">
        <v>444</v>
      </c>
      <c r="G82" s="4" t="s">
        <v>445</v>
      </c>
      <c r="H82" s="4" t="s">
        <v>446</v>
      </c>
      <c r="I82" s="4" t="s">
        <v>447</v>
      </c>
      <c r="J82" s="4" t="s">
        <v>9</v>
      </c>
      <c r="K82" s="5">
        <v>46083.0</v>
      </c>
      <c r="L82" s="6" t="s">
        <v>22</v>
      </c>
      <c r="M82" s="7" t="str">
        <f>IFERROR(__xludf.DUMMYFUNCTION("TEXT(
  IF(RIGHT(A82,2)=""mo"",
    EDATE(DATEVALUE(K82), -VALUE(REGEXEXTRACT(A82,""\d+""))),
    DATEVALUE(K82) - IF(RIGHT(A82,1)=""h"", VALUE(REGEXEXTRACT(A82,""\d+""))/24,
         IF(RIGHT(A82,1)=""d"", VALUE(REGEXEXTRACT(A82,""\d+"")),
         IF(RI"&amp;"GHT(A82,1)=""w"", VALUE(REGEXEXTRACT(A82,""\d+""))*7,
         0)))
  )
, ""YYYY-M-D"")"),"2026-2-2")</f>
        <v>2026-2-2</v>
      </c>
    </row>
    <row r="83">
      <c r="A83" s="4" t="s">
        <v>379</v>
      </c>
      <c r="B83" s="4" t="s">
        <v>448</v>
      </c>
      <c r="C83" s="4" t="s">
        <v>449</v>
      </c>
      <c r="D83" s="4" t="s">
        <v>37</v>
      </c>
      <c r="E83" s="4" t="s">
        <v>421</v>
      </c>
      <c r="F83" s="4" t="s">
        <v>450</v>
      </c>
      <c r="G83" s="4" t="s">
        <v>451</v>
      </c>
      <c r="H83" s="4" t="s">
        <v>452</v>
      </c>
      <c r="I83" s="4" t="s">
        <v>453</v>
      </c>
      <c r="J83" s="4" t="s">
        <v>9</v>
      </c>
      <c r="K83" s="5">
        <v>46083.0</v>
      </c>
      <c r="L83" s="6" t="s">
        <v>22</v>
      </c>
      <c r="M83" s="7" t="str">
        <f>IFERROR(__xludf.DUMMYFUNCTION("TEXT(
  IF(RIGHT(A83,2)=""mo"",
    EDATE(DATEVALUE(K83), -VALUE(REGEXEXTRACT(A83,""\d+""))),
    DATEVALUE(K83) - IF(RIGHT(A83,1)=""h"", VALUE(REGEXEXTRACT(A83,""\d+""))/24,
         IF(RIGHT(A83,1)=""d"", VALUE(REGEXEXTRACT(A83,""\d+"")),
         IF(RI"&amp;"GHT(A83,1)=""w"", VALUE(REGEXEXTRACT(A83,""\d+""))*7,
         0)))
  )
, ""YYYY-M-D"")"),"2026-2-2")</f>
        <v>2026-2-2</v>
      </c>
    </row>
    <row r="84">
      <c r="A84" s="4" t="s">
        <v>379</v>
      </c>
      <c r="B84" s="4" t="s">
        <v>454</v>
      </c>
      <c r="C84" s="4" t="s">
        <v>118</v>
      </c>
      <c r="D84" s="4" t="s">
        <v>37</v>
      </c>
      <c r="E84" s="4" t="s">
        <v>17</v>
      </c>
      <c r="F84" s="4" t="s">
        <v>455</v>
      </c>
      <c r="G84" s="4" t="s">
        <v>456</v>
      </c>
      <c r="H84" s="4" t="s">
        <v>457</v>
      </c>
      <c r="I84" s="4" t="s">
        <v>458</v>
      </c>
      <c r="J84" s="4" t="s">
        <v>9</v>
      </c>
      <c r="K84" s="5">
        <v>46083.0</v>
      </c>
      <c r="L84" s="6" t="s">
        <v>22</v>
      </c>
      <c r="M84" s="7" t="str">
        <f>IFERROR(__xludf.DUMMYFUNCTION("TEXT(
  IF(RIGHT(A84,2)=""mo"",
    EDATE(DATEVALUE(K84), -VALUE(REGEXEXTRACT(A84,""\d+""))),
    DATEVALUE(K84) - IF(RIGHT(A84,1)=""h"", VALUE(REGEXEXTRACT(A84,""\d+""))/24,
         IF(RIGHT(A84,1)=""d"", VALUE(REGEXEXTRACT(A84,""\d+"")),
         IF(RI"&amp;"GHT(A84,1)=""w"", VALUE(REGEXEXTRACT(A84,""\d+""))*7,
         0)))
  )
, ""YYYY-M-D"")"),"2026-2-2")</f>
        <v>2026-2-2</v>
      </c>
    </row>
    <row r="85">
      <c r="A85" s="4" t="s">
        <v>379</v>
      </c>
      <c r="B85" s="4" t="s">
        <v>459</v>
      </c>
      <c r="C85" s="4" t="s">
        <v>15</v>
      </c>
      <c r="D85" s="4" t="s">
        <v>16</v>
      </c>
      <c r="E85" s="4" t="s">
        <v>17</v>
      </c>
      <c r="F85" s="4" t="s">
        <v>460</v>
      </c>
      <c r="G85" s="4" t="s">
        <v>461</v>
      </c>
      <c r="H85" s="4" t="s">
        <v>462</v>
      </c>
      <c r="I85" s="4" t="s">
        <v>463</v>
      </c>
      <c r="J85" s="4" t="s">
        <v>9</v>
      </c>
      <c r="K85" s="5">
        <v>46083.0</v>
      </c>
      <c r="L85" s="6" t="s">
        <v>22</v>
      </c>
      <c r="M85" s="7" t="str">
        <f>IFERROR(__xludf.DUMMYFUNCTION("TEXT(
  IF(RIGHT(A85,2)=""mo"",
    EDATE(DATEVALUE(K85), -VALUE(REGEXEXTRACT(A85,""\d+""))),
    DATEVALUE(K85) - IF(RIGHT(A85,1)=""h"", VALUE(REGEXEXTRACT(A85,""\d+""))/24,
         IF(RIGHT(A85,1)=""d"", VALUE(REGEXEXTRACT(A85,""\d+"")),
         IF(RI"&amp;"GHT(A85,1)=""w"", VALUE(REGEXEXTRACT(A85,""\d+""))*7,
         0)))
  )
, ""YYYY-M-D"")"),"2026-2-2")</f>
        <v>2026-2-2</v>
      </c>
    </row>
    <row r="86">
      <c r="A86" s="4" t="s">
        <v>379</v>
      </c>
      <c r="B86" s="4" t="s">
        <v>464</v>
      </c>
      <c r="C86" s="4" t="s">
        <v>465</v>
      </c>
      <c r="D86" s="4" t="s">
        <v>16</v>
      </c>
      <c r="E86" s="4" t="s">
        <v>17</v>
      </c>
      <c r="F86" s="4" t="s">
        <v>466</v>
      </c>
      <c r="G86" s="4" t="s">
        <v>467</v>
      </c>
      <c r="H86" s="4" t="s">
        <v>468</v>
      </c>
      <c r="I86" s="4" t="s">
        <v>469</v>
      </c>
      <c r="J86" s="4" t="s">
        <v>9</v>
      </c>
      <c r="K86" s="5">
        <v>46083.0</v>
      </c>
      <c r="L86" s="6" t="s">
        <v>22</v>
      </c>
      <c r="M86" s="7" t="str">
        <f>IFERROR(__xludf.DUMMYFUNCTION("TEXT(
  IF(RIGHT(A86,2)=""mo"",
    EDATE(DATEVALUE(K86), -VALUE(REGEXEXTRACT(A86,""\d+""))),
    DATEVALUE(K86) - IF(RIGHT(A86,1)=""h"", VALUE(REGEXEXTRACT(A86,""\d+""))/24,
         IF(RIGHT(A86,1)=""d"", VALUE(REGEXEXTRACT(A86,""\d+"")),
         IF(RI"&amp;"GHT(A86,1)=""w"", VALUE(REGEXEXTRACT(A86,""\d+""))*7,
         0)))
  )
, ""YYYY-M-D"")"),"2026-2-2")</f>
        <v>2026-2-2</v>
      </c>
    </row>
    <row r="87">
      <c r="A87" s="4" t="s">
        <v>379</v>
      </c>
      <c r="B87" s="4" t="s">
        <v>470</v>
      </c>
      <c r="C87" s="4" t="s">
        <v>15</v>
      </c>
      <c r="D87" s="4" t="s">
        <v>16</v>
      </c>
      <c r="E87" s="4" t="s">
        <v>17</v>
      </c>
      <c r="F87" s="4" t="s">
        <v>471</v>
      </c>
      <c r="G87" s="4" t="s">
        <v>472</v>
      </c>
      <c r="H87" s="4" t="s">
        <v>473</v>
      </c>
      <c r="I87" s="4" t="s">
        <v>474</v>
      </c>
      <c r="J87" s="4" t="s">
        <v>9</v>
      </c>
      <c r="K87" s="5">
        <v>46083.0</v>
      </c>
      <c r="L87" s="6" t="s">
        <v>22</v>
      </c>
      <c r="M87" s="7" t="str">
        <f>IFERROR(__xludf.DUMMYFUNCTION("TEXT(
  IF(RIGHT(A87,2)=""mo"",
    EDATE(DATEVALUE(K87), -VALUE(REGEXEXTRACT(A87,""\d+""))),
    DATEVALUE(K87) - IF(RIGHT(A87,1)=""h"", VALUE(REGEXEXTRACT(A87,""\d+""))/24,
         IF(RIGHT(A87,1)=""d"", VALUE(REGEXEXTRACT(A87,""\d+"")),
         IF(RI"&amp;"GHT(A87,1)=""w"", VALUE(REGEXEXTRACT(A87,""\d+""))*7,
         0)))
  )
, ""YYYY-M-D"")"),"2026-2-2")</f>
        <v>2026-2-2</v>
      </c>
    </row>
    <row r="88">
      <c r="A88" s="4" t="s">
        <v>379</v>
      </c>
      <c r="B88" s="4" t="s">
        <v>475</v>
      </c>
      <c r="C88" s="4" t="s">
        <v>476</v>
      </c>
      <c r="D88" s="4" t="s">
        <v>37</v>
      </c>
      <c r="E88" s="4" t="s">
        <v>17</v>
      </c>
      <c r="F88" s="4" t="s">
        <v>477</v>
      </c>
      <c r="G88" s="4" t="s">
        <v>478</v>
      </c>
      <c r="H88" s="4" t="s">
        <v>479</v>
      </c>
      <c r="I88" s="4" t="s">
        <v>480</v>
      </c>
      <c r="J88" s="4" t="s">
        <v>9</v>
      </c>
      <c r="K88" s="5">
        <v>46083.0</v>
      </c>
      <c r="L88" s="6" t="s">
        <v>22</v>
      </c>
      <c r="M88" s="7" t="str">
        <f>IFERROR(__xludf.DUMMYFUNCTION("TEXT(
  IF(RIGHT(A88,2)=""mo"",
    EDATE(DATEVALUE(K88), -VALUE(REGEXEXTRACT(A88,""\d+""))),
    DATEVALUE(K88) - IF(RIGHT(A88,1)=""h"", VALUE(REGEXEXTRACT(A88,""\d+""))/24,
         IF(RIGHT(A88,1)=""d"", VALUE(REGEXEXTRACT(A88,""\d+"")),
         IF(RI"&amp;"GHT(A88,1)=""w"", VALUE(REGEXEXTRACT(A88,""\d+""))*7,
         0)))
  )
, ""YYYY-M-D"")"),"2026-2-2")</f>
        <v>2026-2-2</v>
      </c>
    </row>
    <row r="89">
      <c r="A89" s="4" t="s">
        <v>379</v>
      </c>
      <c r="B89" s="4" t="s">
        <v>481</v>
      </c>
      <c r="C89" s="4" t="s">
        <v>15</v>
      </c>
      <c r="D89" s="4" t="s">
        <v>16</v>
      </c>
      <c r="E89" s="4" t="s">
        <v>17</v>
      </c>
      <c r="F89" s="4" t="s">
        <v>482</v>
      </c>
      <c r="G89" s="4" t="s">
        <v>483</v>
      </c>
      <c r="H89" s="4" t="s">
        <v>484</v>
      </c>
      <c r="I89" s="4" t="s">
        <v>485</v>
      </c>
      <c r="J89" s="4" t="s">
        <v>9</v>
      </c>
      <c r="K89" s="5">
        <v>46083.0</v>
      </c>
      <c r="L89" s="6" t="s">
        <v>22</v>
      </c>
      <c r="M89" s="7" t="str">
        <f>IFERROR(__xludf.DUMMYFUNCTION("TEXT(
  IF(RIGHT(A89,2)=""mo"",
    EDATE(DATEVALUE(K89), -VALUE(REGEXEXTRACT(A89,""\d+""))),
    DATEVALUE(K89) - IF(RIGHT(A89,1)=""h"", VALUE(REGEXEXTRACT(A89,""\d+""))/24,
         IF(RIGHT(A89,1)=""d"", VALUE(REGEXEXTRACT(A89,""\d+"")),
         IF(RI"&amp;"GHT(A89,1)=""w"", VALUE(REGEXEXTRACT(A89,""\d+""))*7,
         0)))
  )
, ""YYYY-M-D"")"),"2026-2-2")</f>
        <v>2026-2-2</v>
      </c>
    </row>
    <row r="90">
      <c r="A90" s="4" t="s">
        <v>379</v>
      </c>
      <c r="B90" s="4" t="s">
        <v>486</v>
      </c>
      <c r="C90" s="4" t="s">
        <v>487</v>
      </c>
      <c r="D90" s="4" t="s">
        <v>37</v>
      </c>
      <c r="E90" s="4" t="s">
        <v>67</v>
      </c>
      <c r="F90" s="4" t="s">
        <v>488</v>
      </c>
      <c r="G90" s="4" t="s">
        <v>489</v>
      </c>
      <c r="H90" s="4" t="s">
        <v>490</v>
      </c>
      <c r="I90" s="4" t="s">
        <v>491</v>
      </c>
      <c r="J90" s="4" t="s">
        <v>9</v>
      </c>
      <c r="K90" s="5">
        <v>46083.0</v>
      </c>
      <c r="L90" s="6" t="s">
        <v>22</v>
      </c>
      <c r="M90" s="7" t="str">
        <f>IFERROR(__xludf.DUMMYFUNCTION("TEXT(
  IF(RIGHT(A90,2)=""mo"",
    EDATE(DATEVALUE(K90), -VALUE(REGEXEXTRACT(A90,""\d+""))),
    DATEVALUE(K90) - IF(RIGHT(A90,1)=""h"", VALUE(REGEXEXTRACT(A90,""\d+""))/24,
         IF(RIGHT(A90,1)=""d"", VALUE(REGEXEXTRACT(A90,""\d+"")),
         IF(RI"&amp;"GHT(A90,1)=""w"", VALUE(REGEXEXTRACT(A90,""\d+""))*7,
         0)))
  )
, ""YYYY-M-D"")"),"2026-2-2")</f>
        <v>2026-2-2</v>
      </c>
    </row>
    <row r="91">
      <c r="A91" s="4" t="s">
        <v>379</v>
      </c>
      <c r="B91" s="4" t="s">
        <v>492</v>
      </c>
      <c r="C91" s="4" t="s">
        <v>15</v>
      </c>
      <c r="D91" s="4" t="s">
        <v>16</v>
      </c>
      <c r="E91" s="4" t="s">
        <v>17</v>
      </c>
      <c r="F91" s="4" t="s">
        <v>493</v>
      </c>
      <c r="G91" s="4" t="s">
        <v>494</v>
      </c>
      <c r="H91" s="4" t="s">
        <v>495</v>
      </c>
      <c r="I91" s="4" t="s">
        <v>496</v>
      </c>
      <c r="J91" s="4" t="s">
        <v>9</v>
      </c>
      <c r="K91" s="5">
        <v>46083.0</v>
      </c>
      <c r="L91" s="6" t="s">
        <v>22</v>
      </c>
      <c r="M91" s="7" t="str">
        <f>IFERROR(__xludf.DUMMYFUNCTION("TEXT(
  IF(RIGHT(A91,2)=""mo"",
    EDATE(DATEVALUE(K91), -VALUE(REGEXEXTRACT(A91,""\d+""))),
    DATEVALUE(K91) - IF(RIGHT(A91,1)=""h"", VALUE(REGEXEXTRACT(A91,""\d+""))/24,
         IF(RIGHT(A91,1)=""d"", VALUE(REGEXEXTRACT(A91,""\d+"")),
         IF(RI"&amp;"GHT(A91,1)=""w"", VALUE(REGEXEXTRACT(A91,""\d+""))*7,
         0)))
  )
, ""YYYY-M-D"")"),"2026-2-2")</f>
        <v>2026-2-2</v>
      </c>
    </row>
    <row r="92">
      <c r="A92" s="4" t="s">
        <v>379</v>
      </c>
      <c r="B92" s="4" t="s">
        <v>255</v>
      </c>
      <c r="C92" s="4" t="s">
        <v>118</v>
      </c>
      <c r="D92" s="4" t="s">
        <v>37</v>
      </c>
      <c r="E92" s="4" t="s">
        <v>17</v>
      </c>
      <c r="F92" s="4" t="s">
        <v>497</v>
      </c>
      <c r="G92" s="4" t="s">
        <v>498</v>
      </c>
      <c r="H92" s="4" t="s">
        <v>499</v>
      </c>
      <c r="I92" s="4" t="s">
        <v>500</v>
      </c>
      <c r="J92" s="4" t="s">
        <v>9</v>
      </c>
      <c r="K92" s="5">
        <v>46083.0</v>
      </c>
      <c r="L92" s="6" t="s">
        <v>22</v>
      </c>
      <c r="M92" s="7" t="str">
        <f>IFERROR(__xludf.DUMMYFUNCTION("TEXT(
  IF(RIGHT(A92,2)=""mo"",
    EDATE(DATEVALUE(K92), -VALUE(REGEXEXTRACT(A92,""\d+""))),
    DATEVALUE(K92) - IF(RIGHT(A92,1)=""h"", VALUE(REGEXEXTRACT(A92,""\d+""))/24,
         IF(RIGHT(A92,1)=""d"", VALUE(REGEXEXTRACT(A92,""\d+"")),
         IF(RI"&amp;"GHT(A92,1)=""w"", VALUE(REGEXEXTRACT(A92,""\d+""))*7,
         0)))
  )
, ""YYYY-M-D"")"),"2026-2-2")</f>
        <v>2026-2-2</v>
      </c>
    </row>
    <row r="93">
      <c r="A93" s="4" t="s">
        <v>379</v>
      </c>
      <c r="B93" s="4" t="s">
        <v>501</v>
      </c>
      <c r="C93" s="4" t="s">
        <v>502</v>
      </c>
      <c r="D93" s="4" t="s">
        <v>37</v>
      </c>
      <c r="E93" s="4" t="s">
        <v>67</v>
      </c>
      <c r="F93" s="4" t="s">
        <v>503</v>
      </c>
      <c r="G93" s="4" t="s">
        <v>504</v>
      </c>
      <c r="H93" s="4" t="s">
        <v>505</v>
      </c>
      <c r="I93" s="4" t="s">
        <v>506</v>
      </c>
      <c r="J93" s="4" t="s">
        <v>9</v>
      </c>
      <c r="K93" s="5">
        <v>46083.0</v>
      </c>
      <c r="L93" s="6" t="s">
        <v>22</v>
      </c>
      <c r="M93" s="7" t="str">
        <f>IFERROR(__xludf.DUMMYFUNCTION("TEXT(
  IF(RIGHT(A93,2)=""mo"",
    EDATE(DATEVALUE(K93), -VALUE(REGEXEXTRACT(A93,""\d+""))),
    DATEVALUE(K93) - IF(RIGHT(A93,1)=""h"", VALUE(REGEXEXTRACT(A93,""\d+""))/24,
         IF(RIGHT(A93,1)=""d"", VALUE(REGEXEXTRACT(A93,""\d+"")),
         IF(RI"&amp;"GHT(A93,1)=""w"", VALUE(REGEXEXTRACT(A93,""\d+""))*7,
         0)))
  )
, ""YYYY-M-D"")"),"2026-2-2")</f>
        <v>2026-2-2</v>
      </c>
    </row>
    <row r="94">
      <c r="A94" s="4" t="s">
        <v>379</v>
      </c>
      <c r="B94" s="4" t="s">
        <v>507</v>
      </c>
      <c r="C94" s="4" t="s">
        <v>15</v>
      </c>
      <c r="D94" s="4" t="s">
        <v>16</v>
      </c>
      <c r="E94" s="4" t="s">
        <v>17</v>
      </c>
      <c r="F94" s="4" t="s">
        <v>508</v>
      </c>
      <c r="G94" s="4" t="s">
        <v>509</v>
      </c>
      <c r="H94" s="4" t="s">
        <v>510</v>
      </c>
      <c r="I94" s="4" t="s">
        <v>511</v>
      </c>
      <c r="J94" s="4" t="s">
        <v>9</v>
      </c>
      <c r="K94" s="5">
        <v>46083.0</v>
      </c>
      <c r="L94" s="6" t="s">
        <v>22</v>
      </c>
      <c r="M94" s="7" t="str">
        <f>IFERROR(__xludf.DUMMYFUNCTION("TEXT(
  IF(RIGHT(A94,2)=""mo"",
    EDATE(DATEVALUE(K94), -VALUE(REGEXEXTRACT(A94,""\d+""))),
    DATEVALUE(K94) - IF(RIGHT(A94,1)=""h"", VALUE(REGEXEXTRACT(A94,""\d+""))/24,
         IF(RIGHT(A94,1)=""d"", VALUE(REGEXEXTRACT(A94,""\d+"")),
         IF(RI"&amp;"GHT(A94,1)=""w"", VALUE(REGEXEXTRACT(A94,""\d+""))*7,
         0)))
  )
, ""YYYY-M-D"")"),"2026-2-2")</f>
        <v>2026-2-2</v>
      </c>
    </row>
    <row r="95">
      <c r="A95" s="4" t="s">
        <v>379</v>
      </c>
      <c r="B95" s="4" t="s">
        <v>512</v>
      </c>
      <c r="C95" s="4" t="s">
        <v>15</v>
      </c>
      <c r="D95" s="4" t="s">
        <v>16</v>
      </c>
      <c r="E95" s="4" t="s">
        <v>17</v>
      </c>
      <c r="F95" s="4" t="s">
        <v>513</v>
      </c>
      <c r="G95" s="4" t="s">
        <v>514</v>
      </c>
      <c r="H95" s="4" t="s">
        <v>515</v>
      </c>
      <c r="I95" s="4" t="s">
        <v>516</v>
      </c>
      <c r="J95" s="4" t="s">
        <v>9</v>
      </c>
      <c r="K95" s="5">
        <v>46083.0</v>
      </c>
      <c r="L95" s="6" t="s">
        <v>22</v>
      </c>
      <c r="M95" s="7" t="str">
        <f>IFERROR(__xludf.DUMMYFUNCTION("TEXT(
  IF(RIGHT(A95,2)=""mo"",
    EDATE(DATEVALUE(K95), -VALUE(REGEXEXTRACT(A95,""\d+""))),
    DATEVALUE(K95) - IF(RIGHT(A95,1)=""h"", VALUE(REGEXEXTRACT(A95,""\d+""))/24,
         IF(RIGHT(A95,1)=""d"", VALUE(REGEXEXTRACT(A95,""\d+"")),
         IF(RI"&amp;"GHT(A95,1)=""w"", VALUE(REGEXEXTRACT(A95,""\d+""))*7,
         0)))
  )
, ""YYYY-M-D"")"),"2026-2-2")</f>
        <v>2026-2-2</v>
      </c>
    </row>
    <row r="96">
      <c r="A96" s="4" t="s">
        <v>379</v>
      </c>
      <c r="B96" s="4" t="s">
        <v>517</v>
      </c>
      <c r="C96" s="4" t="s">
        <v>518</v>
      </c>
      <c r="D96" s="4" t="s">
        <v>44</v>
      </c>
      <c r="E96" s="4" t="s">
        <v>17</v>
      </c>
      <c r="F96" s="4" t="s">
        <v>519</v>
      </c>
      <c r="G96" s="4" t="s">
        <v>520</v>
      </c>
      <c r="H96" s="4" t="s">
        <v>521</v>
      </c>
      <c r="I96" s="4" t="s">
        <v>522</v>
      </c>
      <c r="J96" s="4" t="s">
        <v>9</v>
      </c>
      <c r="K96" s="5">
        <v>46083.0</v>
      </c>
      <c r="L96" s="6" t="s">
        <v>22</v>
      </c>
      <c r="M96" s="7" t="str">
        <f>IFERROR(__xludf.DUMMYFUNCTION("TEXT(
  IF(RIGHT(A96,2)=""mo"",
    EDATE(DATEVALUE(K96), -VALUE(REGEXEXTRACT(A96,""\d+""))),
    DATEVALUE(K96) - IF(RIGHT(A96,1)=""h"", VALUE(REGEXEXTRACT(A96,""\d+""))/24,
         IF(RIGHT(A96,1)=""d"", VALUE(REGEXEXTRACT(A96,""\d+"")),
         IF(RI"&amp;"GHT(A96,1)=""w"", VALUE(REGEXEXTRACT(A96,""\d+""))*7,
         0)))
  )
, ""YYYY-M-D"")"),"2026-2-2")</f>
        <v>2026-2-2</v>
      </c>
    </row>
    <row r="97">
      <c r="A97" s="4" t="s">
        <v>379</v>
      </c>
      <c r="B97" s="4" t="s">
        <v>523</v>
      </c>
      <c r="C97" s="4" t="s">
        <v>15</v>
      </c>
      <c r="D97" s="4" t="s">
        <v>16</v>
      </c>
      <c r="E97" s="4" t="s">
        <v>17</v>
      </c>
      <c r="F97" s="4" t="s">
        <v>524</v>
      </c>
      <c r="G97" s="4" t="s">
        <v>525</v>
      </c>
      <c r="H97" s="4" t="s">
        <v>526</v>
      </c>
      <c r="I97" s="4" t="s">
        <v>527</v>
      </c>
      <c r="J97" s="4" t="s">
        <v>9</v>
      </c>
      <c r="K97" s="5">
        <v>46083.0</v>
      </c>
      <c r="L97" s="6" t="s">
        <v>22</v>
      </c>
      <c r="M97" s="7" t="str">
        <f>IFERROR(__xludf.DUMMYFUNCTION("TEXT(
  IF(RIGHT(A97,2)=""mo"",
    EDATE(DATEVALUE(K97), -VALUE(REGEXEXTRACT(A97,""\d+""))),
    DATEVALUE(K97) - IF(RIGHT(A97,1)=""h"", VALUE(REGEXEXTRACT(A97,""\d+""))/24,
         IF(RIGHT(A97,1)=""d"", VALUE(REGEXEXTRACT(A97,""\d+"")),
         IF(RI"&amp;"GHT(A97,1)=""w"", VALUE(REGEXEXTRACT(A97,""\d+""))*7,
         0)))
  )
, ""YYYY-M-D"")"),"2026-2-2")</f>
        <v>2026-2-2</v>
      </c>
    </row>
    <row r="98">
      <c r="A98" s="4" t="s">
        <v>379</v>
      </c>
      <c r="B98" s="4" t="s">
        <v>431</v>
      </c>
      <c r="C98" s="4" t="s">
        <v>432</v>
      </c>
      <c r="D98" s="4" t="s">
        <v>37</v>
      </c>
      <c r="E98" s="4" t="s">
        <v>17</v>
      </c>
      <c r="F98" s="4" t="s">
        <v>433</v>
      </c>
      <c r="G98" s="4" t="s">
        <v>528</v>
      </c>
      <c r="H98" s="4" t="s">
        <v>529</v>
      </c>
      <c r="I98" s="4" t="s">
        <v>530</v>
      </c>
      <c r="J98" s="4" t="s">
        <v>9</v>
      </c>
      <c r="K98" s="5">
        <v>46083.0</v>
      </c>
      <c r="L98" s="6" t="s">
        <v>22</v>
      </c>
      <c r="M98" s="7" t="str">
        <f>IFERROR(__xludf.DUMMYFUNCTION("TEXT(
  IF(RIGHT(A98,2)=""mo"",
    EDATE(DATEVALUE(K98), -VALUE(REGEXEXTRACT(A98,""\d+""))),
    DATEVALUE(K98) - IF(RIGHT(A98,1)=""h"", VALUE(REGEXEXTRACT(A98,""\d+""))/24,
         IF(RIGHT(A98,1)=""d"", VALUE(REGEXEXTRACT(A98,""\d+"")),
         IF(RI"&amp;"GHT(A98,1)=""w"", VALUE(REGEXEXTRACT(A98,""\d+""))*7,
         0)))
  )
, ""YYYY-M-D"")"),"2026-2-2")</f>
        <v>2026-2-2</v>
      </c>
    </row>
    <row r="99">
      <c r="A99" s="4" t="s">
        <v>379</v>
      </c>
      <c r="B99" s="4" t="s">
        <v>531</v>
      </c>
      <c r="C99" s="4" t="s">
        <v>15</v>
      </c>
      <c r="D99" s="4" t="s">
        <v>16</v>
      </c>
      <c r="E99" s="4" t="s">
        <v>17</v>
      </c>
      <c r="F99" s="4" t="s">
        <v>532</v>
      </c>
      <c r="G99" s="4" t="s">
        <v>533</v>
      </c>
      <c r="H99" s="4" t="s">
        <v>534</v>
      </c>
      <c r="I99" s="4" t="s">
        <v>535</v>
      </c>
      <c r="J99" s="4" t="s">
        <v>9</v>
      </c>
      <c r="K99" s="5">
        <v>46083.0</v>
      </c>
      <c r="L99" s="6" t="s">
        <v>22</v>
      </c>
      <c r="M99" s="7" t="str">
        <f>IFERROR(__xludf.DUMMYFUNCTION("TEXT(
  IF(RIGHT(A99,2)=""mo"",
    EDATE(DATEVALUE(K99), -VALUE(REGEXEXTRACT(A99,""\d+""))),
    DATEVALUE(K99) - IF(RIGHT(A99,1)=""h"", VALUE(REGEXEXTRACT(A99,""\d+""))/24,
         IF(RIGHT(A99,1)=""d"", VALUE(REGEXEXTRACT(A99,""\d+"")),
         IF(RI"&amp;"GHT(A99,1)=""w"", VALUE(REGEXEXTRACT(A99,""\d+""))*7,
         0)))
  )
, ""YYYY-M-D"")"),"2026-2-2")</f>
        <v>2026-2-2</v>
      </c>
    </row>
    <row r="100">
      <c r="A100" s="4" t="s">
        <v>379</v>
      </c>
      <c r="B100" s="4" t="s">
        <v>536</v>
      </c>
      <c r="C100" s="4" t="s">
        <v>15</v>
      </c>
      <c r="D100" s="4" t="s">
        <v>16</v>
      </c>
      <c r="E100" s="4" t="s">
        <v>17</v>
      </c>
      <c r="F100" s="4" t="s">
        <v>537</v>
      </c>
      <c r="G100" s="4" t="s">
        <v>538</v>
      </c>
      <c r="H100" s="4" t="s">
        <v>539</v>
      </c>
      <c r="I100" s="4" t="s">
        <v>540</v>
      </c>
      <c r="J100" s="4" t="s">
        <v>9</v>
      </c>
      <c r="K100" s="5">
        <v>46083.0</v>
      </c>
      <c r="L100" s="6" t="s">
        <v>22</v>
      </c>
      <c r="M100" s="7" t="str">
        <f>IFERROR(__xludf.DUMMYFUNCTION("TEXT(
  IF(RIGHT(A100,2)=""mo"",
    EDATE(DATEVALUE(K100), -VALUE(REGEXEXTRACT(A100,""\d+""))),
    DATEVALUE(K100) - IF(RIGHT(A100,1)=""h"", VALUE(REGEXEXTRACT(A100,""\d+""))/24,
         IF(RIGHT(A100,1)=""d"", VALUE(REGEXEXTRACT(A100,""\d+"")),
      "&amp;"   IF(RIGHT(A100,1)=""w"", VALUE(REGEXEXTRACT(A100,""\d+""))*7,
         0)))
  )
, ""YYYY-M-D"")"),"2026-2-2")</f>
        <v>2026-2-2</v>
      </c>
    </row>
    <row r="101">
      <c r="A101" s="4" t="s">
        <v>379</v>
      </c>
      <c r="B101" s="4" t="s">
        <v>541</v>
      </c>
      <c r="C101" s="4" t="s">
        <v>15</v>
      </c>
      <c r="D101" s="4" t="s">
        <v>44</v>
      </c>
      <c r="E101" s="4" t="s">
        <v>17</v>
      </c>
      <c r="F101" s="4" t="s">
        <v>542</v>
      </c>
      <c r="G101" s="4" t="s">
        <v>543</v>
      </c>
      <c r="H101" s="4" t="s">
        <v>544</v>
      </c>
      <c r="I101" s="4" t="s">
        <v>545</v>
      </c>
      <c r="J101" s="4" t="s">
        <v>9</v>
      </c>
      <c r="K101" s="5">
        <v>46083.0</v>
      </c>
      <c r="L101" s="6" t="s">
        <v>22</v>
      </c>
      <c r="M101" s="7" t="str">
        <f>IFERROR(__xludf.DUMMYFUNCTION("TEXT(
  IF(RIGHT(A101,2)=""mo"",
    EDATE(DATEVALUE(K101), -VALUE(REGEXEXTRACT(A101,""\d+""))),
    DATEVALUE(K101) - IF(RIGHT(A101,1)=""h"", VALUE(REGEXEXTRACT(A101,""\d+""))/24,
         IF(RIGHT(A101,1)=""d"", VALUE(REGEXEXTRACT(A101,""\d+"")),
      "&amp;"   IF(RIGHT(A101,1)=""w"", VALUE(REGEXEXTRACT(A101,""\d+""))*7,
         0)))
  )
, ""YYYY-M-D"")"),"2026-2-2")</f>
        <v>2026-2-2</v>
      </c>
    </row>
    <row r="102">
      <c r="A102" s="4" t="s">
        <v>379</v>
      </c>
      <c r="B102" s="4" t="s">
        <v>546</v>
      </c>
      <c r="C102" s="4" t="s">
        <v>118</v>
      </c>
      <c r="D102" s="4" t="s">
        <v>37</v>
      </c>
      <c r="E102" s="4" t="s">
        <v>67</v>
      </c>
      <c r="F102" s="4" t="s">
        <v>547</v>
      </c>
      <c r="G102" s="4" t="s">
        <v>548</v>
      </c>
      <c r="H102" s="4" t="s">
        <v>549</v>
      </c>
      <c r="I102" s="4" t="s">
        <v>550</v>
      </c>
      <c r="J102" s="4" t="s">
        <v>9</v>
      </c>
      <c r="K102" s="5">
        <v>46083.0</v>
      </c>
      <c r="L102" s="6" t="s">
        <v>22</v>
      </c>
      <c r="M102" s="7" t="str">
        <f>IFERROR(__xludf.DUMMYFUNCTION("TEXT(
  IF(RIGHT(A102,2)=""mo"",
    EDATE(DATEVALUE(K102), -VALUE(REGEXEXTRACT(A102,""\d+""))),
    DATEVALUE(K102) - IF(RIGHT(A102,1)=""h"", VALUE(REGEXEXTRACT(A102,""\d+""))/24,
         IF(RIGHT(A102,1)=""d"", VALUE(REGEXEXTRACT(A102,""\d+"")),
      "&amp;"   IF(RIGHT(A102,1)=""w"", VALUE(REGEXEXTRACT(A102,""\d+""))*7,
         0)))
  )
, ""YYYY-M-D"")"),"2026-2-2")</f>
        <v>2026-2-2</v>
      </c>
    </row>
    <row r="103">
      <c r="A103" s="4" t="s">
        <v>379</v>
      </c>
      <c r="B103" s="4" t="s">
        <v>551</v>
      </c>
      <c r="C103" s="4" t="s">
        <v>552</v>
      </c>
      <c r="D103" s="4" t="s">
        <v>16</v>
      </c>
      <c r="E103" s="4" t="s">
        <v>17</v>
      </c>
      <c r="F103" s="4" t="s">
        <v>553</v>
      </c>
      <c r="G103" s="4" t="s">
        <v>554</v>
      </c>
      <c r="H103" s="4" t="s">
        <v>555</v>
      </c>
      <c r="I103" s="4" t="s">
        <v>556</v>
      </c>
      <c r="J103" s="4" t="s">
        <v>9</v>
      </c>
      <c r="K103" s="5">
        <v>46083.0</v>
      </c>
      <c r="L103" s="6" t="s">
        <v>22</v>
      </c>
      <c r="M103" s="7" t="str">
        <f>IFERROR(__xludf.DUMMYFUNCTION("TEXT(
  IF(RIGHT(A103,2)=""mo"",
    EDATE(DATEVALUE(K103), -VALUE(REGEXEXTRACT(A103,""\d+""))),
    DATEVALUE(K103) - IF(RIGHT(A103,1)=""h"", VALUE(REGEXEXTRACT(A103,""\d+""))/24,
         IF(RIGHT(A103,1)=""d"", VALUE(REGEXEXTRACT(A103,""\d+"")),
      "&amp;"   IF(RIGHT(A103,1)=""w"", VALUE(REGEXEXTRACT(A103,""\d+""))*7,
         0)))
  )
, ""YYYY-M-D"")"),"2026-2-2")</f>
        <v>2026-2-2</v>
      </c>
    </row>
    <row r="104">
      <c r="A104" s="4" t="s">
        <v>379</v>
      </c>
      <c r="B104" s="4" t="s">
        <v>557</v>
      </c>
      <c r="C104" s="4" t="s">
        <v>15</v>
      </c>
      <c r="D104" s="4" t="s">
        <v>16</v>
      </c>
      <c r="E104" s="4" t="s">
        <v>17</v>
      </c>
      <c r="F104" s="4" t="s">
        <v>558</v>
      </c>
      <c r="G104" s="4" t="s">
        <v>559</v>
      </c>
      <c r="H104" s="4" t="s">
        <v>560</v>
      </c>
      <c r="I104" s="4" t="s">
        <v>561</v>
      </c>
      <c r="J104" s="4" t="s">
        <v>9</v>
      </c>
      <c r="K104" s="5">
        <v>46083.0</v>
      </c>
      <c r="L104" s="6" t="s">
        <v>22</v>
      </c>
      <c r="M104" s="7" t="str">
        <f>IFERROR(__xludf.DUMMYFUNCTION("TEXT(
  IF(RIGHT(A104,2)=""mo"",
    EDATE(DATEVALUE(K104), -VALUE(REGEXEXTRACT(A104,""\d+""))),
    DATEVALUE(K104) - IF(RIGHT(A104,1)=""h"", VALUE(REGEXEXTRACT(A104,""\d+""))/24,
         IF(RIGHT(A104,1)=""d"", VALUE(REGEXEXTRACT(A104,""\d+"")),
      "&amp;"   IF(RIGHT(A104,1)=""w"", VALUE(REGEXEXTRACT(A104,""\d+""))*7,
         0)))
  )
, ""YYYY-M-D"")"),"2026-2-2")</f>
        <v>2026-2-2</v>
      </c>
    </row>
    <row r="105">
      <c r="A105" s="4" t="s">
        <v>379</v>
      </c>
      <c r="B105" s="4" t="s">
        <v>562</v>
      </c>
      <c r="C105" s="4" t="s">
        <v>15</v>
      </c>
      <c r="D105" s="4" t="s">
        <v>16</v>
      </c>
      <c r="E105" s="4" t="s">
        <v>17</v>
      </c>
      <c r="F105" s="4" t="s">
        <v>563</v>
      </c>
      <c r="G105" s="4" t="s">
        <v>564</v>
      </c>
      <c r="H105" s="4" t="s">
        <v>565</v>
      </c>
      <c r="I105" s="4" t="s">
        <v>21</v>
      </c>
      <c r="J105" s="4" t="s">
        <v>9</v>
      </c>
      <c r="K105" s="5">
        <v>46083.0</v>
      </c>
      <c r="L105" s="6" t="s">
        <v>22</v>
      </c>
      <c r="M105" s="7" t="str">
        <f>IFERROR(__xludf.DUMMYFUNCTION("TEXT(
  IF(RIGHT(A105,2)=""mo"",
    EDATE(DATEVALUE(K105), -VALUE(REGEXEXTRACT(A105,""\d+""))),
    DATEVALUE(K105) - IF(RIGHT(A105,1)=""h"", VALUE(REGEXEXTRACT(A105,""\d+""))/24,
         IF(RIGHT(A105,1)=""d"", VALUE(REGEXEXTRACT(A105,""\d+"")),
      "&amp;"   IF(RIGHT(A105,1)=""w"", VALUE(REGEXEXTRACT(A105,""\d+""))*7,
         0)))
  )
, ""YYYY-M-D"")"),"2026-2-2")</f>
        <v>2026-2-2</v>
      </c>
    </row>
    <row r="106">
      <c r="A106" s="4" t="s">
        <v>379</v>
      </c>
      <c r="B106" s="4" t="s">
        <v>566</v>
      </c>
      <c r="C106" s="4" t="s">
        <v>118</v>
      </c>
      <c r="D106" s="4" t="s">
        <v>37</v>
      </c>
      <c r="E106" s="4" t="s">
        <v>17</v>
      </c>
      <c r="F106" s="4" t="s">
        <v>567</v>
      </c>
      <c r="G106" s="4" t="s">
        <v>568</v>
      </c>
      <c r="H106" s="4" t="s">
        <v>569</v>
      </c>
      <c r="I106" s="4" t="s">
        <v>570</v>
      </c>
      <c r="J106" s="4" t="s">
        <v>9</v>
      </c>
      <c r="K106" s="5">
        <v>46083.0</v>
      </c>
      <c r="L106" s="6" t="s">
        <v>22</v>
      </c>
      <c r="M106" s="7" t="str">
        <f>IFERROR(__xludf.DUMMYFUNCTION("TEXT(
  IF(RIGHT(A106,2)=""mo"",
    EDATE(DATEVALUE(K106), -VALUE(REGEXEXTRACT(A106,""\d+""))),
    DATEVALUE(K106) - IF(RIGHT(A106,1)=""h"", VALUE(REGEXEXTRACT(A106,""\d+""))/24,
         IF(RIGHT(A106,1)=""d"", VALUE(REGEXEXTRACT(A106,""\d+"")),
      "&amp;"   IF(RIGHT(A106,1)=""w"", VALUE(REGEXEXTRACT(A106,""\d+""))*7,
         0)))
  )
, ""YYYY-M-D"")"),"2026-2-2")</f>
        <v>2026-2-2</v>
      </c>
    </row>
    <row r="107">
      <c r="A107" s="4" t="s">
        <v>379</v>
      </c>
      <c r="B107" s="4" t="s">
        <v>571</v>
      </c>
      <c r="C107" s="4" t="s">
        <v>572</v>
      </c>
      <c r="D107" s="4" t="s">
        <v>37</v>
      </c>
      <c r="E107" s="4" t="s">
        <v>67</v>
      </c>
      <c r="F107" s="4" t="s">
        <v>573</v>
      </c>
      <c r="G107" s="4" t="s">
        <v>574</v>
      </c>
      <c r="H107" s="4" t="s">
        <v>575</v>
      </c>
      <c r="I107" s="4" t="s">
        <v>21</v>
      </c>
      <c r="J107" s="4" t="s">
        <v>9</v>
      </c>
      <c r="K107" s="5">
        <v>46083.0</v>
      </c>
      <c r="L107" s="6" t="s">
        <v>22</v>
      </c>
      <c r="M107" s="7" t="str">
        <f>IFERROR(__xludf.DUMMYFUNCTION("TEXT(
  IF(RIGHT(A107,2)=""mo"",
    EDATE(DATEVALUE(K107), -VALUE(REGEXEXTRACT(A107,""\d+""))),
    DATEVALUE(K107) - IF(RIGHT(A107,1)=""h"", VALUE(REGEXEXTRACT(A107,""\d+""))/24,
         IF(RIGHT(A107,1)=""d"", VALUE(REGEXEXTRACT(A107,""\d+"")),
      "&amp;"   IF(RIGHT(A107,1)=""w"", VALUE(REGEXEXTRACT(A107,""\d+""))*7,
         0)))
  )
, ""YYYY-M-D"")"),"2026-2-2")</f>
        <v>2026-2-2</v>
      </c>
    </row>
    <row r="108">
      <c r="A108" s="4" t="s">
        <v>379</v>
      </c>
      <c r="B108" s="4" t="s">
        <v>576</v>
      </c>
      <c r="C108" s="4" t="s">
        <v>15</v>
      </c>
      <c r="D108" s="4" t="s">
        <v>16</v>
      </c>
      <c r="E108" s="4" t="s">
        <v>17</v>
      </c>
      <c r="F108" s="4" t="s">
        <v>577</v>
      </c>
      <c r="G108" s="4" t="s">
        <v>578</v>
      </c>
      <c r="H108" s="4" t="s">
        <v>579</v>
      </c>
      <c r="I108" s="4" t="s">
        <v>580</v>
      </c>
      <c r="J108" s="4" t="s">
        <v>9</v>
      </c>
      <c r="K108" s="5">
        <v>46083.0</v>
      </c>
      <c r="L108" s="6" t="s">
        <v>22</v>
      </c>
      <c r="M108" s="7" t="str">
        <f>IFERROR(__xludf.DUMMYFUNCTION("TEXT(
  IF(RIGHT(A108,2)=""mo"",
    EDATE(DATEVALUE(K108), -VALUE(REGEXEXTRACT(A108,""\d+""))),
    DATEVALUE(K108) - IF(RIGHT(A108,1)=""h"", VALUE(REGEXEXTRACT(A108,""\d+""))/24,
         IF(RIGHT(A108,1)=""d"", VALUE(REGEXEXTRACT(A108,""\d+"")),
      "&amp;"   IF(RIGHT(A108,1)=""w"", VALUE(REGEXEXTRACT(A108,""\d+""))*7,
         0)))
  )
, ""YYYY-M-D"")"),"2026-2-2")</f>
        <v>2026-2-2</v>
      </c>
    </row>
    <row r="109">
      <c r="A109" s="4" t="s">
        <v>581</v>
      </c>
      <c r="B109" s="4" t="s">
        <v>582</v>
      </c>
      <c r="C109" s="4" t="s">
        <v>15</v>
      </c>
      <c r="D109" s="4" t="s">
        <v>44</v>
      </c>
      <c r="E109" s="4" t="s">
        <v>17</v>
      </c>
      <c r="F109" s="4" t="s">
        <v>583</v>
      </c>
      <c r="G109" s="4" t="s">
        <v>584</v>
      </c>
      <c r="H109" s="4" t="s">
        <v>585</v>
      </c>
      <c r="I109" s="4" t="s">
        <v>586</v>
      </c>
      <c r="J109" s="4" t="s">
        <v>9</v>
      </c>
      <c r="K109" s="5">
        <v>46083.0</v>
      </c>
      <c r="L109" s="6" t="s">
        <v>22</v>
      </c>
      <c r="M109" s="7" t="str">
        <f>IFERROR(__xludf.DUMMYFUNCTION("TEXT(
  IF(RIGHT(A109,2)=""mo"",
    EDATE(DATEVALUE(K109), -VALUE(REGEXEXTRACT(A109,""\d+""))),
    DATEVALUE(K109) - IF(RIGHT(A109,1)=""h"", VALUE(REGEXEXTRACT(A109,""\d+""))/24,
         IF(RIGHT(A109,1)=""d"", VALUE(REGEXEXTRACT(A109,""\d+"")),
      "&amp;"   IF(RIGHT(A109,1)=""w"", VALUE(REGEXEXTRACT(A109,""\d+""))*7,
         0)))
  )
, ""YYYY-M-D"")"),"2026-1-2")</f>
        <v>2026-1-2</v>
      </c>
    </row>
    <row r="110">
      <c r="A110" s="4" t="s">
        <v>581</v>
      </c>
      <c r="B110" s="4" t="s">
        <v>587</v>
      </c>
      <c r="C110" s="4" t="s">
        <v>118</v>
      </c>
      <c r="D110" s="4" t="s">
        <v>37</v>
      </c>
      <c r="E110" s="4" t="s">
        <v>17</v>
      </c>
      <c r="F110" s="4" t="s">
        <v>588</v>
      </c>
      <c r="G110" s="4" t="s">
        <v>589</v>
      </c>
      <c r="H110" s="4" t="s">
        <v>590</v>
      </c>
      <c r="I110" s="4" t="s">
        <v>591</v>
      </c>
      <c r="J110" s="4" t="s">
        <v>9</v>
      </c>
      <c r="K110" s="5">
        <v>46083.0</v>
      </c>
      <c r="L110" s="6" t="s">
        <v>22</v>
      </c>
      <c r="M110" s="7" t="str">
        <f>IFERROR(__xludf.DUMMYFUNCTION("TEXT(
  IF(RIGHT(A110,2)=""mo"",
    EDATE(DATEVALUE(K110), -VALUE(REGEXEXTRACT(A110,""\d+""))),
    DATEVALUE(K110) - IF(RIGHT(A110,1)=""h"", VALUE(REGEXEXTRACT(A110,""\d+""))/24,
         IF(RIGHT(A110,1)=""d"", VALUE(REGEXEXTRACT(A110,""\d+"")),
      "&amp;"   IF(RIGHT(A110,1)=""w"", VALUE(REGEXEXTRACT(A110,""\d+""))*7,
         0)))
  )
, ""YYYY-M-D"")"),"2026-1-2")</f>
        <v>2026-1-2</v>
      </c>
    </row>
    <row r="111">
      <c r="A111" s="4" t="s">
        <v>581</v>
      </c>
      <c r="B111" s="4" t="s">
        <v>592</v>
      </c>
      <c r="C111" s="4" t="s">
        <v>593</v>
      </c>
      <c r="D111" s="4" t="s">
        <v>37</v>
      </c>
      <c r="E111" s="4" t="s">
        <v>17</v>
      </c>
      <c r="F111" s="4" t="s">
        <v>594</v>
      </c>
      <c r="G111" s="4" t="s">
        <v>595</v>
      </c>
      <c r="H111" s="4" t="s">
        <v>596</v>
      </c>
      <c r="I111" s="4" t="s">
        <v>597</v>
      </c>
      <c r="J111" s="4" t="s">
        <v>9</v>
      </c>
      <c r="K111" s="5">
        <v>46083.0</v>
      </c>
      <c r="L111" s="6" t="s">
        <v>22</v>
      </c>
      <c r="M111" s="7" t="str">
        <f>IFERROR(__xludf.DUMMYFUNCTION("TEXT(
  IF(RIGHT(A111,2)=""mo"",
    EDATE(DATEVALUE(K111), -VALUE(REGEXEXTRACT(A111,""\d+""))),
    DATEVALUE(K111) - IF(RIGHT(A111,1)=""h"", VALUE(REGEXEXTRACT(A111,""\d+""))/24,
         IF(RIGHT(A111,1)=""d"", VALUE(REGEXEXTRACT(A111,""\d+"")),
      "&amp;"   IF(RIGHT(A111,1)=""w"", VALUE(REGEXEXTRACT(A111,""\d+""))*7,
         0)))
  )
, ""YYYY-M-D"")"),"2026-1-2")</f>
        <v>2026-1-2</v>
      </c>
    </row>
    <row r="112">
      <c r="A112" s="4" t="s">
        <v>581</v>
      </c>
      <c r="B112" s="4" t="s">
        <v>598</v>
      </c>
      <c r="C112" s="4" t="s">
        <v>15</v>
      </c>
      <c r="D112" s="4" t="s">
        <v>44</v>
      </c>
      <c r="E112" s="4" t="s">
        <v>421</v>
      </c>
      <c r="F112" s="4" t="s">
        <v>599</v>
      </c>
      <c r="G112" s="4" t="s">
        <v>600</v>
      </c>
      <c r="H112" s="4" t="s">
        <v>601</v>
      </c>
      <c r="I112" s="4" t="s">
        <v>602</v>
      </c>
      <c r="J112" s="4" t="s">
        <v>9</v>
      </c>
      <c r="K112" s="5">
        <v>46083.0</v>
      </c>
      <c r="L112" s="6" t="s">
        <v>22</v>
      </c>
      <c r="M112" s="7" t="str">
        <f>IFERROR(__xludf.DUMMYFUNCTION("TEXT(
  IF(RIGHT(A112,2)=""mo"",
    EDATE(DATEVALUE(K112), -VALUE(REGEXEXTRACT(A112,""\d+""))),
    DATEVALUE(K112) - IF(RIGHT(A112,1)=""h"", VALUE(REGEXEXTRACT(A112,""\d+""))/24,
         IF(RIGHT(A112,1)=""d"", VALUE(REGEXEXTRACT(A112,""\d+"")),
      "&amp;"   IF(RIGHT(A112,1)=""w"", VALUE(REGEXEXTRACT(A112,""\d+""))*7,
         0)))
  )
, ""YYYY-M-D"")"),"2026-1-2")</f>
        <v>2026-1-2</v>
      </c>
    </row>
    <row r="113">
      <c r="A113" s="4" t="s">
        <v>581</v>
      </c>
      <c r="B113" s="4" t="s">
        <v>592</v>
      </c>
      <c r="C113" s="4" t="s">
        <v>15</v>
      </c>
      <c r="D113" s="4" t="s">
        <v>44</v>
      </c>
      <c r="E113" s="4" t="s">
        <v>17</v>
      </c>
      <c r="F113" s="4" t="s">
        <v>603</v>
      </c>
      <c r="G113" s="4" t="s">
        <v>604</v>
      </c>
      <c r="H113" s="4" t="s">
        <v>605</v>
      </c>
      <c r="I113" s="4" t="s">
        <v>606</v>
      </c>
      <c r="J113" s="4" t="s">
        <v>9</v>
      </c>
      <c r="K113" s="5">
        <v>46083.0</v>
      </c>
      <c r="L113" s="6" t="s">
        <v>22</v>
      </c>
      <c r="M113" s="7" t="str">
        <f>IFERROR(__xludf.DUMMYFUNCTION("TEXT(
  IF(RIGHT(A113,2)=""mo"",
    EDATE(DATEVALUE(K113), -VALUE(REGEXEXTRACT(A113,""\d+""))),
    DATEVALUE(K113) - IF(RIGHT(A113,1)=""h"", VALUE(REGEXEXTRACT(A113,""\d+""))/24,
         IF(RIGHT(A113,1)=""d"", VALUE(REGEXEXTRACT(A113,""\d+"")),
      "&amp;"   IF(RIGHT(A113,1)=""w"", VALUE(REGEXEXTRACT(A113,""\d+""))*7,
         0)))
  )
, ""YYYY-M-D"")"),"2026-1-2")</f>
        <v>2026-1-2</v>
      </c>
    </row>
    <row r="114">
      <c r="A114" s="4" t="s">
        <v>581</v>
      </c>
      <c r="B114" s="4" t="s">
        <v>607</v>
      </c>
      <c r="C114" s="4" t="s">
        <v>15</v>
      </c>
      <c r="D114" s="4" t="s">
        <v>16</v>
      </c>
      <c r="E114" s="4" t="s">
        <v>17</v>
      </c>
      <c r="F114" s="4" t="s">
        <v>608</v>
      </c>
      <c r="G114" s="4" t="s">
        <v>609</v>
      </c>
      <c r="H114" s="4" t="s">
        <v>610</v>
      </c>
      <c r="I114" s="4" t="s">
        <v>611</v>
      </c>
      <c r="J114" s="4" t="s">
        <v>9</v>
      </c>
      <c r="K114" s="5">
        <v>46083.0</v>
      </c>
      <c r="L114" s="6" t="s">
        <v>22</v>
      </c>
      <c r="M114" s="7" t="str">
        <f>IFERROR(__xludf.DUMMYFUNCTION("TEXT(
  IF(RIGHT(A114,2)=""mo"",
    EDATE(DATEVALUE(K114), -VALUE(REGEXEXTRACT(A114,""\d+""))),
    DATEVALUE(K114) - IF(RIGHT(A114,1)=""h"", VALUE(REGEXEXTRACT(A114,""\d+""))/24,
         IF(RIGHT(A114,1)=""d"", VALUE(REGEXEXTRACT(A114,""\d+"")),
      "&amp;"   IF(RIGHT(A114,1)=""w"", VALUE(REGEXEXTRACT(A114,""\d+""))*7,
         0)))
  )
, ""YYYY-M-D"")"),"2026-1-2")</f>
        <v>2026-1-2</v>
      </c>
    </row>
    <row r="115">
      <c r="A115" s="4" t="s">
        <v>581</v>
      </c>
      <c r="B115" s="4" t="s">
        <v>612</v>
      </c>
      <c r="C115" s="4" t="s">
        <v>613</v>
      </c>
      <c r="D115" s="4" t="s">
        <v>44</v>
      </c>
      <c r="E115" s="4" t="s">
        <v>17</v>
      </c>
      <c r="F115" s="4" t="s">
        <v>614</v>
      </c>
      <c r="G115" s="4" t="s">
        <v>615</v>
      </c>
      <c r="H115" s="4" t="s">
        <v>616</v>
      </c>
      <c r="I115" s="4" t="s">
        <v>617</v>
      </c>
      <c r="J115" s="4" t="s">
        <v>9</v>
      </c>
      <c r="K115" s="5">
        <v>46083.0</v>
      </c>
      <c r="L115" s="6" t="s">
        <v>22</v>
      </c>
      <c r="M115" s="7" t="str">
        <f>IFERROR(__xludf.DUMMYFUNCTION("TEXT(
  IF(RIGHT(A115,2)=""mo"",
    EDATE(DATEVALUE(K115), -VALUE(REGEXEXTRACT(A115,""\d+""))),
    DATEVALUE(K115) - IF(RIGHT(A115,1)=""h"", VALUE(REGEXEXTRACT(A115,""\d+""))/24,
         IF(RIGHT(A115,1)=""d"", VALUE(REGEXEXTRACT(A115,""\d+"")),
      "&amp;"   IF(RIGHT(A115,1)=""w"", VALUE(REGEXEXTRACT(A115,""\d+""))*7,
         0)))
  )
, ""YYYY-M-D"")"),"2026-1-2")</f>
        <v>2026-1-2</v>
      </c>
    </row>
    <row r="116">
      <c r="A116" s="4" t="s">
        <v>581</v>
      </c>
      <c r="B116" s="4" t="s">
        <v>315</v>
      </c>
      <c r="C116" s="4" t="s">
        <v>618</v>
      </c>
      <c r="D116" s="4" t="s">
        <v>44</v>
      </c>
      <c r="E116" s="4" t="s">
        <v>17</v>
      </c>
      <c r="F116" s="4" t="s">
        <v>619</v>
      </c>
      <c r="G116" s="4" t="s">
        <v>620</v>
      </c>
      <c r="H116" s="4" t="s">
        <v>621</v>
      </c>
      <c r="I116" s="4" t="s">
        <v>622</v>
      </c>
      <c r="J116" s="4" t="s">
        <v>9</v>
      </c>
      <c r="K116" s="5">
        <v>46083.0</v>
      </c>
      <c r="L116" s="6" t="s">
        <v>22</v>
      </c>
      <c r="M116" s="7" t="str">
        <f>IFERROR(__xludf.DUMMYFUNCTION("TEXT(
  IF(RIGHT(A116,2)=""mo"",
    EDATE(DATEVALUE(K116), -VALUE(REGEXEXTRACT(A116,""\d+""))),
    DATEVALUE(K116) - IF(RIGHT(A116,1)=""h"", VALUE(REGEXEXTRACT(A116,""\d+""))/24,
         IF(RIGHT(A116,1)=""d"", VALUE(REGEXEXTRACT(A116,""\d+"")),
      "&amp;"   IF(RIGHT(A116,1)=""w"", VALUE(REGEXEXTRACT(A116,""\d+""))*7,
         0)))
  )
, ""YYYY-M-D"")"),"2026-1-2")</f>
        <v>2026-1-2</v>
      </c>
    </row>
    <row r="117">
      <c r="A117" s="4" t="s">
        <v>581</v>
      </c>
      <c r="B117" s="4" t="s">
        <v>623</v>
      </c>
      <c r="C117" s="4" t="s">
        <v>624</v>
      </c>
      <c r="D117" s="4" t="s">
        <v>16</v>
      </c>
      <c r="E117" s="4" t="s">
        <v>17</v>
      </c>
      <c r="F117" s="4" t="s">
        <v>625</v>
      </c>
      <c r="G117" s="4" t="s">
        <v>626</v>
      </c>
      <c r="H117" s="4" t="s">
        <v>627</v>
      </c>
      <c r="I117" s="4" t="s">
        <v>628</v>
      </c>
      <c r="J117" s="4" t="s">
        <v>9</v>
      </c>
      <c r="K117" s="5">
        <v>46083.0</v>
      </c>
      <c r="L117" s="6" t="s">
        <v>22</v>
      </c>
      <c r="M117" s="7" t="str">
        <f>IFERROR(__xludf.DUMMYFUNCTION("TEXT(
  IF(RIGHT(A117,2)=""mo"",
    EDATE(DATEVALUE(K117), -VALUE(REGEXEXTRACT(A117,""\d+""))),
    DATEVALUE(K117) - IF(RIGHT(A117,1)=""h"", VALUE(REGEXEXTRACT(A117,""\d+""))/24,
         IF(RIGHT(A117,1)=""d"", VALUE(REGEXEXTRACT(A117,""\d+"")),
      "&amp;"   IF(RIGHT(A117,1)=""w"", VALUE(REGEXEXTRACT(A117,""\d+""))*7,
         0)))
  )
, ""YYYY-M-D"")"),"2026-1-2")</f>
        <v>2026-1-2</v>
      </c>
    </row>
    <row r="118">
      <c r="A118" s="4" t="s">
        <v>581</v>
      </c>
      <c r="B118" s="4" t="s">
        <v>629</v>
      </c>
      <c r="C118" s="4" t="s">
        <v>118</v>
      </c>
      <c r="D118" s="4" t="s">
        <v>37</v>
      </c>
      <c r="E118" s="4" t="s">
        <v>17</v>
      </c>
      <c r="F118" s="4" t="s">
        <v>630</v>
      </c>
      <c r="G118" s="4" t="s">
        <v>631</v>
      </c>
      <c r="H118" s="4" t="s">
        <v>632</v>
      </c>
      <c r="I118" s="4" t="s">
        <v>633</v>
      </c>
      <c r="J118" s="4" t="s">
        <v>9</v>
      </c>
      <c r="K118" s="5">
        <v>46083.0</v>
      </c>
      <c r="L118" s="6" t="s">
        <v>22</v>
      </c>
      <c r="M118" s="7" t="str">
        <f>IFERROR(__xludf.DUMMYFUNCTION("TEXT(
  IF(RIGHT(A118,2)=""mo"",
    EDATE(DATEVALUE(K118), -VALUE(REGEXEXTRACT(A118,""\d+""))),
    DATEVALUE(K118) - IF(RIGHT(A118,1)=""h"", VALUE(REGEXEXTRACT(A118,""\d+""))/24,
         IF(RIGHT(A118,1)=""d"", VALUE(REGEXEXTRACT(A118,""\d+"")),
      "&amp;"   IF(RIGHT(A118,1)=""w"", VALUE(REGEXEXTRACT(A118,""\d+""))*7,
         0)))
  )
, ""YYYY-M-D"")"),"2026-1-2")</f>
        <v>2026-1-2</v>
      </c>
    </row>
    <row r="119">
      <c r="A119" s="4" t="s">
        <v>581</v>
      </c>
      <c r="B119" s="4" t="s">
        <v>634</v>
      </c>
      <c r="C119" s="4" t="s">
        <v>635</v>
      </c>
      <c r="D119" s="4" t="s">
        <v>37</v>
      </c>
      <c r="E119" s="4" t="s">
        <v>17</v>
      </c>
      <c r="F119" s="4" t="s">
        <v>636</v>
      </c>
      <c r="G119" s="4" t="s">
        <v>637</v>
      </c>
      <c r="H119" s="4" t="s">
        <v>638</v>
      </c>
      <c r="I119" s="4" t="s">
        <v>639</v>
      </c>
      <c r="J119" s="4" t="s">
        <v>9</v>
      </c>
      <c r="K119" s="5">
        <v>46083.0</v>
      </c>
      <c r="L119" s="6" t="s">
        <v>22</v>
      </c>
      <c r="M119" s="7" t="str">
        <f>IFERROR(__xludf.DUMMYFUNCTION("TEXT(
  IF(RIGHT(A119,2)=""mo"",
    EDATE(DATEVALUE(K119), -VALUE(REGEXEXTRACT(A119,""\d+""))),
    DATEVALUE(K119) - IF(RIGHT(A119,1)=""h"", VALUE(REGEXEXTRACT(A119,""\d+""))/24,
         IF(RIGHT(A119,1)=""d"", VALUE(REGEXEXTRACT(A119,""\d+"")),
      "&amp;"   IF(RIGHT(A119,1)=""w"", VALUE(REGEXEXTRACT(A119,""\d+""))*7,
         0)))
  )
, ""YYYY-M-D"")"),"2026-1-2")</f>
        <v>2026-1-2</v>
      </c>
    </row>
    <row r="120">
      <c r="A120" s="4" t="s">
        <v>581</v>
      </c>
      <c r="B120" s="4" t="s">
        <v>640</v>
      </c>
      <c r="C120" s="4" t="s">
        <v>641</v>
      </c>
      <c r="D120" s="4" t="s">
        <v>37</v>
      </c>
      <c r="E120" s="4" t="s">
        <v>17</v>
      </c>
      <c r="F120" s="4" t="s">
        <v>642</v>
      </c>
      <c r="G120" s="4" t="s">
        <v>643</v>
      </c>
      <c r="H120" s="4" t="s">
        <v>644</v>
      </c>
      <c r="I120" s="4" t="s">
        <v>645</v>
      </c>
      <c r="J120" s="4" t="s">
        <v>9</v>
      </c>
      <c r="K120" s="5">
        <v>46083.0</v>
      </c>
      <c r="L120" s="6" t="s">
        <v>22</v>
      </c>
      <c r="M120" s="7" t="str">
        <f>IFERROR(__xludf.DUMMYFUNCTION("TEXT(
  IF(RIGHT(A120,2)=""mo"",
    EDATE(DATEVALUE(K120), -VALUE(REGEXEXTRACT(A120,""\d+""))),
    DATEVALUE(K120) - IF(RIGHT(A120,1)=""h"", VALUE(REGEXEXTRACT(A120,""\d+""))/24,
         IF(RIGHT(A120,1)=""d"", VALUE(REGEXEXTRACT(A120,""\d+"")),
      "&amp;"   IF(RIGHT(A120,1)=""w"", VALUE(REGEXEXTRACT(A120,""\d+""))*7,
         0)))
  )
, ""YYYY-M-D"")"),"2026-1-2")</f>
        <v>2026-1-2</v>
      </c>
    </row>
    <row r="121">
      <c r="A121" s="4" t="s">
        <v>581</v>
      </c>
      <c r="B121" s="4" t="s">
        <v>646</v>
      </c>
      <c r="C121" s="4" t="s">
        <v>15</v>
      </c>
      <c r="D121" s="4" t="s">
        <v>37</v>
      </c>
      <c r="E121" s="4" t="s">
        <v>17</v>
      </c>
      <c r="F121" s="4" t="s">
        <v>647</v>
      </c>
      <c r="G121" s="4" t="s">
        <v>648</v>
      </c>
      <c r="H121" s="4" t="s">
        <v>649</v>
      </c>
      <c r="I121" s="4" t="s">
        <v>650</v>
      </c>
      <c r="J121" s="4" t="s">
        <v>9</v>
      </c>
      <c r="K121" s="5">
        <v>46083.0</v>
      </c>
      <c r="L121" s="6" t="s">
        <v>22</v>
      </c>
      <c r="M121" s="7" t="str">
        <f>IFERROR(__xludf.DUMMYFUNCTION("TEXT(
  IF(RIGHT(A121,2)=""mo"",
    EDATE(DATEVALUE(K121), -VALUE(REGEXEXTRACT(A121,""\d+""))),
    DATEVALUE(K121) - IF(RIGHT(A121,1)=""h"", VALUE(REGEXEXTRACT(A121,""\d+""))/24,
         IF(RIGHT(A121,1)=""d"", VALUE(REGEXEXTRACT(A121,""\d+"")),
      "&amp;"   IF(RIGHT(A121,1)=""w"", VALUE(REGEXEXTRACT(A121,""\d+""))*7,
         0)))
  )
, ""YYYY-M-D"")"),"2026-1-2")</f>
        <v>2026-1-2</v>
      </c>
    </row>
    <row r="122">
      <c r="A122" s="4" t="s">
        <v>581</v>
      </c>
      <c r="B122" s="4" t="s">
        <v>651</v>
      </c>
      <c r="C122" s="4" t="s">
        <v>15</v>
      </c>
      <c r="D122" s="4" t="s">
        <v>16</v>
      </c>
      <c r="E122" s="4" t="s">
        <v>17</v>
      </c>
      <c r="F122" s="4" t="s">
        <v>652</v>
      </c>
      <c r="G122" s="4" t="s">
        <v>653</v>
      </c>
      <c r="H122" s="4" t="s">
        <v>654</v>
      </c>
      <c r="I122" s="4" t="s">
        <v>21</v>
      </c>
      <c r="J122" s="4" t="s">
        <v>9</v>
      </c>
      <c r="K122" s="5">
        <v>46083.0</v>
      </c>
      <c r="L122" s="6" t="s">
        <v>22</v>
      </c>
      <c r="M122" s="7" t="str">
        <f>IFERROR(__xludf.DUMMYFUNCTION("TEXT(
  IF(RIGHT(A122,2)=""mo"",
    EDATE(DATEVALUE(K122), -VALUE(REGEXEXTRACT(A122,""\d+""))),
    DATEVALUE(K122) - IF(RIGHT(A122,1)=""h"", VALUE(REGEXEXTRACT(A122,""\d+""))/24,
         IF(RIGHT(A122,1)=""d"", VALUE(REGEXEXTRACT(A122,""\d+"")),
      "&amp;"   IF(RIGHT(A122,1)=""w"", VALUE(REGEXEXTRACT(A122,""\d+""))*7,
         0)))
  )
, ""YYYY-M-D"")"),"2026-1-2")</f>
        <v>2026-1-2</v>
      </c>
    </row>
    <row r="123">
      <c r="A123" s="4" t="s">
        <v>581</v>
      </c>
      <c r="B123" s="4" t="s">
        <v>655</v>
      </c>
      <c r="C123" s="4" t="s">
        <v>118</v>
      </c>
      <c r="D123" s="4" t="s">
        <v>37</v>
      </c>
      <c r="E123" s="4" t="s">
        <v>67</v>
      </c>
      <c r="F123" s="4" t="s">
        <v>656</v>
      </c>
      <c r="G123" s="4" t="s">
        <v>657</v>
      </c>
      <c r="H123" s="4" t="s">
        <v>658</v>
      </c>
      <c r="I123" s="4" t="s">
        <v>659</v>
      </c>
      <c r="J123" s="4" t="s">
        <v>9</v>
      </c>
      <c r="K123" s="5">
        <v>46083.0</v>
      </c>
      <c r="L123" s="6" t="s">
        <v>22</v>
      </c>
      <c r="M123" s="7" t="str">
        <f>IFERROR(__xludf.DUMMYFUNCTION("TEXT(
  IF(RIGHT(A123,2)=""mo"",
    EDATE(DATEVALUE(K123), -VALUE(REGEXEXTRACT(A123,""\d+""))),
    DATEVALUE(K123) - IF(RIGHT(A123,1)=""h"", VALUE(REGEXEXTRACT(A123,""\d+""))/24,
         IF(RIGHT(A123,1)=""d"", VALUE(REGEXEXTRACT(A123,""\d+"")),
      "&amp;"   IF(RIGHT(A123,1)=""w"", VALUE(REGEXEXTRACT(A123,""\d+""))*7,
         0)))
  )
, ""YYYY-M-D"")"),"2026-1-2")</f>
        <v>2026-1-2</v>
      </c>
    </row>
    <row r="124">
      <c r="A124" s="4" t="s">
        <v>581</v>
      </c>
      <c r="B124" s="4" t="s">
        <v>660</v>
      </c>
      <c r="C124" s="4" t="s">
        <v>118</v>
      </c>
      <c r="D124" s="4" t="s">
        <v>37</v>
      </c>
      <c r="E124" s="4" t="s">
        <v>17</v>
      </c>
      <c r="F124" s="4" t="s">
        <v>37</v>
      </c>
      <c r="G124" s="4" t="s">
        <v>661</v>
      </c>
      <c r="H124" s="4" t="s">
        <v>662</v>
      </c>
      <c r="I124" s="4" t="s">
        <v>663</v>
      </c>
      <c r="J124" s="4" t="s">
        <v>9</v>
      </c>
      <c r="K124" s="5">
        <v>46083.0</v>
      </c>
      <c r="L124" s="6" t="s">
        <v>22</v>
      </c>
      <c r="M124" s="7" t="str">
        <f>IFERROR(__xludf.DUMMYFUNCTION("TEXT(
  IF(RIGHT(A124,2)=""mo"",
    EDATE(DATEVALUE(K124), -VALUE(REGEXEXTRACT(A124,""\d+""))),
    DATEVALUE(K124) - IF(RIGHT(A124,1)=""h"", VALUE(REGEXEXTRACT(A124,""\d+""))/24,
         IF(RIGHT(A124,1)=""d"", VALUE(REGEXEXTRACT(A124,""\d+"")),
      "&amp;"   IF(RIGHT(A124,1)=""w"", VALUE(REGEXEXTRACT(A124,""\d+""))*7,
         0)))
  )
, ""YYYY-M-D"")"),"2026-1-2")</f>
        <v>2026-1-2</v>
      </c>
    </row>
    <row r="125">
      <c r="A125" s="4" t="s">
        <v>581</v>
      </c>
      <c r="B125" s="4" t="s">
        <v>664</v>
      </c>
      <c r="C125" s="4" t="s">
        <v>15</v>
      </c>
      <c r="D125" s="4" t="s">
        <v>37</v>
      </c>
      <c r="E125" s="4" t="s">
        <v>17</v>
      </c>
      <c r="F125" s="4" t="s">
        <v>665</v>
      </c>
      <c r="G125" s="4" t="s">
        <v>666</v>
      </c>
      <c r="H125" s="4" t="s">
        <v>667</v>
      </c>
      <c r="I125" s="4" t="s">
        <v>668</v>
      </c>
      <c r="J125" s="4" t="s">
        <v>9</v>
      </c>
      <c r="K125" s="5">
        <v>46083.0</v>
      </c>
      <c r="L125" s="6" t="s">
        <v>22</v>
      </c>
      <c r="M125" s="7" t="str">
        <f>IFERROR(__xludf.DUMMYFUNCTION("TEXT(
  IF(RIGHT(A125,2)=""mo"",
    EDATE(DATEVALUE(K125), -VALUE(REGEXEXTRACT(A125,""\d+""))),
    DATEVALUE(K125) - IF(RIGHT(A125,1)=""h"", VALUE(REGEXEXTRACT(A125,""\d+""))/24,
         IF(RIGHT(A125,1)=""d"", VALUE(REGEXEXTRACT(A125,""\d+"")),
      "&amp;"   IF(RIGHT(A125,1)=""w"", VALUE(REGEXEXTRACT(A125,""\d+""))*7,
         0)))
  )
, ""YYYY-M-D"")"),"2026-1-2")</f>
        <v>2026-1-2</v>
      </c>
    </row>
    <row r="126">
      <c r="A126" s="4" t="s">
        <v>581</v>
      </c>
      <c r="B126" s="4" t="s">
        <v>669</v>
      </c>
      <c r="C126" s="4" t="s">
        <v>670</v>
      </c>
      <c r="D126" s="4" t="s">
        <v>37</v>
      </c>
      <c r="E126" s="4" t="s">
        <v>67</v>
      </c>
      <c r="F126" s="4" t="s">
        <v>671</v>
      </c>
      <c r="G126" s="4" t="s">
        <v>672</v>
      </c>
      <c r="H126" s="4" t="s">
        <v>673</v>
      </c>
      <c r="I126" s="4" t="s">
        <v>21</v>
      </c>
      <c r="J126" s="4" t="s">
        <v>9</v>
      </c>
      <c r="K126" s="5">
        <v>46083.0</v>
      </c>
      <c r="L126" s="6" t="s">
        <v>22</v>
      </c>
      <c r="M126" s="7" t="str">
        <f>IFERROR(__xludf.DUMMYFUNCTION("TEXT(
  IF(RIGHT(A126,2)=""mo"",
    EDATE(DATEVALUE(K126), -VALUE(REGEXEXTRACT(A126,""\d+""))),
    DATEVALUE(K126) - IF(RIGHT(A126,1)=""h"", VALUE(REGEXEXTRACT(A126,""\d+""))/24,
         IF(RIGHT(A126,1)=""d"", VALUE(REGEXEXTRACT(A126,""\d+"")),
      "&amp;"   IF(RIGHT(A126,1)=""w"", VALUE(REGEXEXTRACT(A126,""\d+""))*7,
         0)))
  )
, ""YYYY-M-D"")"),"2026-1-2")</f>
        <v>2026-1-2</v>
      </c>
    </row>
    <row r="127">
      <c r="A127" s="4" t="s">
        <v>674</v>
      </c>
      <c r="B127" s="4" t="s">
        <v>675</v>
      </c>
      <c r="C127" s="4" t="s">
        <v>118</v>
      </c>
      <c r="D127" s="4" t="s">
        <v>37</v>
      </c>
      <c r="E127" s="4" t="s">
        <v>17</v>
      </c>
      <c r="F127" s="4" t="s">
        <v>676</v>
      </c>
      <c r="G127" s="4" t="s">
        <v>677</v>
      </c>
      <c r="H127" s="4" t="s">
        <v>678</v>
      </c>
      <c r="I127" s="4" t="s">
        <v>679</v>
      </c>
      <c r="J127" s="4" t="s">
        <v>9</v>
      </c>
      <c r="K127" s="5">
        <v>46083.0</v>
      </c>
      <c r="L127" s="6" t="s">
        <v>22</v>
      </c>
      <c r="M127" s="7" t="str">
        <f>IFERROR(__xludf.DUMMYFUNCTION("TEXT(
  IF(RIGHT(A127,2)=""mo"",
    EDATE(DATEVALUE(K127), -VALUE(REGEXEXTRACT(A127,""\d+""))),
    DATEVALUE(K127) - IF(RIGHT(A127,1)=""h"", VALUE(REGEXEXTRACT(A127,""\d+""))/24,
         IF(RIGHT(A127,1)=""d"", VALUE(REGEXEXTRACT(A127,""\d+"")),
      "&amp;"   IF(RIGHT(A127,1)=""w"", VALUE(REGEXEXTRACT(A127,""\d+""))*7,
         0)))
  )
, ""YYYY-M-D"")"),"2025-12-2")</f>
        <v>2025-12-2</v>
      </c>
    </row>
    <row r="128">
      <c r="A128" s="4" t="s">
        <v>674</v>
      </c>
      <c r="B128" s="4" t="s">
        <v>680</v>
      </c>
      <c r="C128" s="4" t="s">
        <v>15</v>
      </c>
      <c r="D128" s="4" t="s">
        <v>16</v>
      </c>
      <c r="E128" s="4" t="s">
        <v>17</v>
      </c>
      <c r="F128" s="4" t="s">
        <v>681</v>
      </c>
      <c r="G128" s="4" t="s">
        <v>682</v>
      </c>
      <c r="H128" s="4" t="s">
        <v>683</v>
      </c>
      <c r="I128" s="4" t="s">
        <v>684</v>
      </c>
      <c r="J128" s="4" t="s">
        <v>9</v>
      </c>
      <c r="K128" s="5">
        <v>46083.0</v>
      </c>
      <c r="L128" s="6" t="s">
        <v>22</v>
      </c>
      <c r="M128" s="7" t="str">
        <f>IFERROR(__xludf.DUMMYFUNCTION("TEXT(
  IF(RIGHT(A128,2)=""mo"",
    EDATE(DATEVALUE(K128), -VALUE(REGEXEXTRACT(A128,""\d+""))),
    DATEVALUE(K128) - IF(RIGHT(A128,1)=""h"", VALUE(REGEXEXTRACT(A128,""\d+""))/24,
         IF(RIGHT(A128,1)=""d"", VALUE(REGEXEXTRACT(A128,""\d+"")),
      "&amp;"   IF(RIGHT(A128,1)=""w"", VALUE(REGEXEXTRACT(A128,""\d+""))*7,
         0)))
  )
, ""YYYY-M-D"")"),"2025-12-2")</f>
        <v>2025-12-2</v>
      </c>
    </row>
    <row r="129">
      <c r="A129" s="4" t="s">
        <v>674</v>
      </c>
      <c r="B129" s="4" t="s">
        <v>685</v>
      </c>
      <c r="C129" s="4" t="s">
        <v>15</v>
      </c>
      <c r="D129" s="4" t="s">
        <v>44</v>
      </c>
      <c r="E129" s="4" t="s">
        <v>17</v>
      </c>
      <c r="F129" s="4" t="s">
        <v>686</v>
      </c>
      <c r="G129" s="4" t="s">
        <v>687</v>
      </c>
      <c r="H129" s="4" t="s">
        <v>688</v>
      </c>
      <c r="I129" s="4" t="s">
        <v>689</v>
      </c>
      <c r="J129" s="4" t="s">
        <v>9</v>
      </c>
      <c r="K129" s="5">
        <v>46083.0</v>
      </c>
      <c r="L129" s="6" t="s">
        <v>22</v>
      </c>
      <c r="M129" s="7" t="str">
        <f>IFERROR(__xludf.DUMMYFUNCTION("TEXT(
  IF(RIGHT(A129,2)=""mo"",
    EDATE(DATEVALUE(K129), -VALUE(REGEXEXTRACT(A129,""\d+""))),
    DATEVALUE(K129) - IF(RIGHT(A129,1)=""h"", VALUE(REGEXEXTRACT(A129,""\d+""))/24,
         IF(RIGHT(A129,1)=""d"", VALUE(REGEXEXTRACT(A129,""\d+"")),
      "&amp;"   IF(RIGHT(A129,1)=""w"", VALUE(REGEXEXTRACT(A129,""\d+""))*7,
         0)))
  )
, ""YYYY-M-D"")"),"2025-12-2")</f>
        <v>2025-12-2</v>
      </c>
    </row>
    <row r="130">
      <c r="A130" s="4" t="s">
        <v>674</v>
      </c>
      <c r="B130" s="4" t="s">
        <v>690</v>
      </c>
      <c r="C130" s="4" t="s">
        <v>691</v>
      </c>
      <c r="D130" s="4" t="s">
        <v>16</v>
      </c>
      <c r="E130" s="4" t="s">
        <v>17</v>
      </c>
      <c r="F130" s="4" t="s">
        <v>692</v>
      </c>
      <c r="G130" s="4" t="s">
        <v>693</v>
      </c>
      <c r="H130" s="4" t="s">
        <v>694</v>
      </c>
      <c r="I130" s="4" t="s">
        <v>695</v>
      </c>
      <c r="J130" s="4" t="s">
        <v>9</v>
      </c>
      <c r="K130" s="5">
        <v>46083.0</v>
      </c>
      <c r="L130" s="6" t="s">
        <v>22</v>
      </c>
      <c r="M130" s="7" t="str">
        <f>IFERROR(__xludf.DUMMYFUNCTION("TEXT(
  IF(RIGHT(A130,2)=""mo"",
    EDATE(DATEVALUE(K130), -VALUE(REGEXEXTRACT(A130,""\d+""))),
    DATEVALUE(K130) - IF(RIGHT(A130,1)=""h"", VALUE(REGEXEXTRACT(A130,""\d+""))/24,
         IF(RIGHT(A130,1)=""d"", VALUE(REGEXEXTRACT(A130,""\d+"")),
      "&amp;"   IF(RIGHT(A130,1)=""w"", VALUE(REGEXEXTRACT(A130,""\d+""))*7,
         0)))
  )
, ""YYYY-M-D"")"),"2025-12-2")</f>
        <v>2025-12-2</v>
      </c>
    </row>
    <row r="131">
      <c r="A131" s="4" t="s">
        <v>674</v>
      </c>
      <c r="B131" s="4" t="s">
        <v>696</v>
      </c>
      <c r="C131" s="4" t="s">
        <v>15</v>
      </c>
      <c r="D131" s="4" t="s">
        <v>16</v>
      </c>
      <c r="E131" s="4" t="s">
        <v>17</v>
      </c>
      <c r="F131" s="4" t="s">
        <v>697</v>
      </c>
      <c r="G131" s="4" t="s">
        <v>698</v>
      </c>
      <c r="H131" s="4" t="s">
        <v>699</v>
      </c>
      <c r="I131" s="4" t="s">
        <v>700</v>
      </c>
      <c r="J131" s="4" t="s">
        <v>9</v>
      </c>
      <c r="K131" s="5">
        <v>46083.0</v>
      </c>
      <c r="L131" s="6" t="s">
        <v>22</v>
      </c>
      <c r="M131" s="7" t="str">
        <f>IFERROR(__xludf.DUMMYFUNCTION("TEXT(
  IF(RIGHT(A131,2)=""mo"",
    EDATE(DATEVALUE(K131), -VALUE(REGEXEXTRACT(A131,""\d+""))),
    DATEVALUE(K131) - IF(RIGHT(A131,1)=""h"", VALUE(REGEXEXTRACT(A131,""\d+""))/24,
         IF(RIGHT(A131,1)=""d"", VALUE(REGEXEXTRACT(A131,""\d+"")),
      "&amp;"   IF(RIGHT(A131,1)=""w"", VALUE(REGEXEXTRACT(A131,""\d+""))*7,
         0)))
  )
, ""YYYY-M-D"")"),"2025-12-2")</f>
        <v>2025-12-2</v>
      </c>
    </row>
    <row r="132">
      <c r="A132" s="4" t="s">
        <v>674</v>
      </c>
      <c r="B132" s="4" t="s">
        <v>701</v>
      </c>
      <c r="C132" s="4" t="s">
        <v>118</v>
      </c>
      <c r="D132" s="4" t="s">
        <v>37</v>
      </c>
      <c r="E132" s="4" t="s">
        <v>17</v>
      </c>
      <c r="F132" s="4" t="s">
        <v>702</v>
      </c>
      <c r="G132" s="4" t="s">
        <v>703</v>
      </c>
      <c r="H132" s="4" t="s">
        <v>704</v>
      </c>
      <c r="I132" s="4" t="s">
        <v>705</v>
      </c>
      <c r="J132" s="4" t="s">
        <v>9</v>
      </c>
      <c r="K132" s="5">
        <v>46083.0</v>
      </c>
      <c r="L132" s="6" t="s">
        <v>22</v>
      </c>
      <c r="M132" s="7" t="str">
        <f>IFERROR(__xludf.DUMMYFUNCTION("TEXT(
  IF(RIGHT(A132,2)=""mo"",
    EDATE(DATEVALUE(K132), -VALUE(REGEXEXTRACT(A132,""\d+""))),
    DATEVALUE(K132) - IF(RIGHT(A132,1)=""h"", VALUE(REGEXEXTRACT(A132,""\d+""))/24,
         IF(RIGHT(A132,1)=""d"", VALUE(REGEXEXTRACT(A132,""\d+"")),
      "&amp;"   IF(RIGHT(A132,1)=""w"", VALUE(REGEXEXTRACT(A132,""\d+""))*7,
         0)))
  )
, ""YYYY-M-D"")"),"2025-12-2")</f>
        <v>2025-12-2</v>
      </c>
    </row>
    <row r="133">
      <c r="A133" s="4" t="s">
        <v>674</v>
      </c>
      <c r="B133" s="4" t="s">
        <v>706</v>
      </c>
      <c r="C133" s="4" t="s">
        <v>15</v>
      </c>
      <c r="D133" s="4" t="s">
        <v>16</v>
      </c>
      <c r="E133" s="4" t="s">
        <v>17</v>
      </c>
      <c r="F133" s="4" t="s">
        <v>707</v>
      </c>
      <c r="G133" s="4" t="s">
        <v>708</v>
      </c>
      <c r="H133" s="4" t="s">
        <v>709</v>
      </c>
      <c r="I133" s="4" t="s">
        <v>710</v>
      </c>
      <c r="J133" s="4" t="s">
        <v>9</v>
      </c>
      <c r="K133" s="5">
        <v>46083.0</v>
      </c>
      <c r="L133" s="6" t="s">
        <v>22</v>
      </c>
      <c r="M133" s="7" t="str">
        <f>IFERROR(__xludf.DUMMYFUNCTION("TEXT(
  IF(RIGHT(A133,2)=""mo"",
    EDATE(DATEVALUE(K133), -VALUE(REGEXEXTRACT(A133,""\d+""))),
    DATEVALUE(K133) - IF(RIGHT(A133,1)=""h"", VALUE(REGEXEXTRACT(A133,""\d+""))/24,
         IF(RIGHT(A133,1)=""d"", VALUE(REGEXEXTRACT(A133,""\d+"")),
      "&amp;"   IF(RIGHT(A133,1)=""w"", VALUE(REGEXEXTRACT(A133,""\d+""))*7,
         0)))
  )
, ""YYYY-M-D"")"),"2025-12-2")</f>
        <v>2025-12-2</v>
      </c>
    </row>
    <row r="134">
      <c r="A134" s="4" t="s">
        <v>674</v>
      </c>
      <c r="B134" s="4" t="s">
        <v>711</v>
      </c>
      <c r="C134" s="4" t="s">
        <v>15</v>
      </c>
      <c r="D134" s="4" t="s">
        <v>44</v>
      </c>
      <c r="E134" s="4" t="s">
        <v>17</v>
      </c>
      <c r="F134" s="4" t="s">
        <v>199</v>
      </c>
      <c r="G134" s="4" t="s">
        <v>200</v>
      </c>
      <c r="H134" s="4" t="s">
        <v>712</v>
      </c>
      <c r="I134" s="4" t="s">
        <v>713</v>
      </c>
      <c r="J134" s="4" t="s">
        <v>9</v>
      </c>
      <c r="K134" s="5">
        <v>46083.0</v>
      </c>
      <c r="L134" s="6" t="s">
        <v>22</v>
      </c>
      <c r="M134" s="7" t="str">
        <f>IFERROR(__xludf.DUMMYFUNCTION("TEXT(
  IF(RIGHT(A134,2)=""mo"",
    EDATE(DATEVALUE(K134), -VALUE(REGEXEXTRACT(A134,""\d+""))),
    DATEVALUE(K134) - IF(RIGHT(A134,1)=""h"", VALUE(REGEXEXTRACT(A134,""\d+""))/24,
         IF(RIGHT(A134,1)=""d"", VALUE(REGEXEXTRACT(A134,""\d+"")),
      "&amp;"   IF(RIGHT(A134,1)=""w"", VALUE(REGEXEXTRACT(A134,""\d+""))*7,
         0)))
  )
, ""YYYY-M-D"")"),"2025-12-2")</f>
        <v>2025-12-2</v>
      </c>
    </row>
    <row r="135">
      <c r="A135" s="4" t="s">
        <v>714</v>
      </c>
      <c r="B135" s="4" t="s">
        <v>507</v>
      </c>
      <c r="C135" s="4" t="s">
        <v>715</v>
      </c>
      <c r="D135" s="4" t="s">
        <v>37</v>
      </c>
      <c r="E135" s="4" t="s">
        <v>17</v>
      </c>
      <c r="F135" s="4" t="s">
        <v>716</v>
      </c>
      <c r="G135" s="4" t="s">
        <v>717</v>
      </c>
      <c r="H135" s="4" t="s">
        <v>718</v>
      </c>
      <c r="I135" s="4" t="s">
        <v>719</v>
      </c>
      <c r="J135" s="4" t="s">
        <v>9</v>
      </c>
      <c r="K135" s="5">
        <v>46083.0</v>
      </c>
      <c r="L135" s="6" t="s">
        <v>22</v>
      </c>
      <c r="M135" s="7" t="str">
        <f>IFERROR(__xludf.DUMMYFUNCTION("TEXT(
  IF(RIGHT(A135,2)=""mo"",
    EDATE(DATEVALUE(K135), -VALUE(REGEXEXTRACT(A135,""\d+""))),
    DATEVALUE(K135) - IF(RIGHT(A135,1)=""h"", VALUE(REGEXEXTRACT(A135,""\d+""))/24,
         IF(RIGHT(A135,1)=""d"", VALUE(REGEXEXTRACT(A135,""\d+"")),
      "&amp;"   IF(RIGHT(A135,1)=""w"", VALUE(REGEXEXTRACT(A135,""\d+""))*7,
         0)))
  )
, ""YYYY-M-D"")"),"2025-11-2")</f>
        <v>2025-11-2</v>
      </c>
    </row>
    <row r="136">
      <c r="A136" s="4" t="s">
        <v>714</v>
      </c>
      <c r="B136" s="4" t="s">
        <v>720</v>
      </c>
      <c r="C136" s="4" t="s">
        <v>15</v>
      </c>
      <c r="D136" s="4" t="s">
        <v>44</v>
      </c>
      <c r="E136" s="4" t="s">
        <v>17</v>
      </c>
      <c r="F136" s="4" t="s">
        <v>721</v>
      </c>
      <c r="G136" s="4" t="s">
        <v>722</v>
      </c>
      <c r="H136" s="4" t="s">
        <v>723</v>
      </c>
      <c r="I136" s="4" t="s">
        <v>724</v>
      </c>
      <c r="J136" s="4" t="s">
        <v>9</v>
      </c>
      <c r="K136" s="5">
        <v>46083.0</v>
      </c>
      <c r="L136" s="6" t="s">
        <v>22</v>
      </c>
      <c r="M136" s="7" t="str">
        <f>IFERROR(__xludf.DUMMYFUNCTION("TEXT(
  IF(RIGHT(A136,2)=""mo"",
    EDATE(DATEVALUE(K136), -VALUE(REGEXEXTRACT(A136,""\d+""))),
    DATEVALUE(K136) - IF(RIGHT(A136,1)=""h"", VALUE(REGEXEXTRACT(A136,""\d+""))/24,
         IF(RIGHT(A136,1)=""d"", VALUE(REGEXEXTRACT(A136,""\d+"")),
      "&amp;"   IF(RIGHT(A136,1)=""w"", VALUE(REGEXEXTRACT(A136,""\d+""))*7,
         0)))
  )
, ""YYYY-M-D"")"),"2025-11-2")</f>
        <v>2025-11-2</v>
      </c>
    </row>
    <row r="137">
      <c r="A137" s="4" t="s">
        <v>714</v>
      </c>
      <c r="B137" s="4" t="s">
        <v>725</v>
      </c>
      <c r="C137" s="4" t="s">
        <v>726</v>
      </c>
      <c r="D137" s="4" t="s">
        <v>37</v>
      </c>
      <c r="E137" s="4" t="s">
        <v>17</v>
      </c>
      <c r="F137" s="4" t="s">
        <v>727</v>
      </c>
      <c r="G137" s="4" t="s">
        <v>728</v>
      </c>
      <c r="H137" s="4" t="s">
        <v>729</v>
      </c>
      <c r="I137" s="4" t="s">
        <v>730</v>
      </c>
      <c r="J137" s="4" t="s">
        <v>9</v>
      </c>
      <c r="K137" s="5">
        <v>46083.0</v>
      </c>
      <c r="L137" s="6" t="s">
        <v>22</v>
      </c>
      <c r="M137" s="7" t="str">
        <f>IFERROR(__xludf.DUMMYFUNCTION("TEXT(
  IF(RIGHT(A137,2)=""mo"",
    EDATE(DATEVALUE(K137), -VALUE(REGEXEXTRACT(A137,""\d+""))),
    DATEVALUE(K137) - IF(RIGHT(A137,1)=""h"", VALUE(REGEXEXTRACT(A137,""\d+""))/24,
         IF(RIGHT(A137,1)=""d"", VALUE(REGEXEXTRACT(A137,""\d+"")),
      "&amp;"   IF(RIGHT(A137,1)=""w"", VALUE(REGEXEXTRACT(A137,""\d+""))*7,
         0)))
  )
, ""YYYY-M-D"")"),"2025-11-2")</f>
        <v>2025-11-2</v>
      </c>
    </row>
    <row r="138">
      <c r="A138" s="4" t="s">
        <v>731</v>
      </c>
      <c r="B138" s="4" t="s">
        <v>732</v>
      </c>
      <c r="C138" s="4" t="s">
        <v>518</v>
      </c>
      <c r="D138" s="4" t="s">
        <v>16</v>
      </c>
      <c r="E138" s="4" t="s">
        <v>17</v>
      </c>
      <c r="F138" s="4" t="s">
        <v>733</v>
      </c>
      <c r="G138" s="4" t="s">
        <v>734</v>
      </c>
      <c r="H138" s="4" t="s">
        <v>735</v>
      </c>
      <c r="I138" s="4" t="s">
        <v>736</v>
      </c>
      <c r="J138" s="4" t="s">
        <v>9</v>
      </c>
      <c r="K138" s="5">
        <v>46083.0</v>
      </c>
      <c r="L138" s="6" t="s">
        <v>22</v>
      </c>
      <c r="M138" s="7" t="str">
        <f>IFERROR(__xludf.DUMMYFUNCTION("TEXT(
  IF(RIGHT(A138,2)=""mo"",
    EDATE(DATEVALUE(K138), -VALUE(REGEXEXTRACT(A138,""\d+""))),
    DATEVALUE(K138) - IF(RIGHT(A138,1)=""h"", VALUE(REGEXEXTRACT(A138,""\d+""))/24,
         IF(RIGHT(A138,1)=""d"", VALUE(REGEXEXTRACT(A138,""\d+"")),
      "&amp;"   IF(RIGHT(A138,1)=""w"", VALUE(REGEXEXTRACT(A138,""\d+""))*7,
         0)))
  )
, ""YYYY-M-D"")"),"2025-10-2")</f>
        <v>2025-10-2</v>
      </c>
    </row>
    <row r="139">
      <c r="A139" s="4" t="s">
        <v>731</v>
      </c>
      <c r="B139" s="4" t="s">
        <v>737</v>
      </c>
      <c r="C139" s="4" t="s">
        <v>15</v>
      </c>
      <c r="D139" s="4" t="s">
        <v>44</v>
      </c>
      <c r="E139" s="4" t="s">
        <v>17</v>
      </c>
      <c r="F139" s="4" t="s">
        <v>738</v>
      </c>
      <c r="G139" s="4" t="s">
        <v>739</v>
      </c>
      <c r="H139" s="4" t="s">
        <v>740</v>
      </c>
      <c r="I139" s="4" t="s">
        <v>741</v>
      </c>
      <c r="J139" s="4" t="s">
        <v>9</v>
      </c>
      <c r="K139" s="5">
        <v>46083.0</v>
      </c>
      <c r="L139" s="6" t="s">
        <v>22</v>
      </c>
      <c r="M139" s="7" t="str">
        <f>IFERROR(__xludf.DUMMYFUNCTION("TEXT(
  IF(RIGHT(A139,2)=""mo"",
    EDATE(DATEVALUE(K139), -VALUE(REGEXEXTRACT(A139,""\d+""))),
    DATEVALUE(K139) - IF(RIGHT(A139,1)=""h"", VALUE(REGEXEXTRACT(A139,""\d+""))/24,
         IF(RIGHT(A139,1)=""d"", VALUE(REGEXEXTRACT(A139,""\d+"")),
      "&amp;"   IF(RIGHT(A139,1)=""w"", VALUE(REGEXEXTRACT(A139,""\d+""))*7,
         0)))
  )
, ""YYYY-M-D"")"),"2025-10-2")</f>
        <v>2025-10-2</v>
      </c>
    </row>
    <row r="140">
      <c r="A140" s="8" t="s">
        <v>742</v>
      </c>
      <c r="B140" s="8" t="s">
        <v>49</v>
      </c>
      <c r="C140" s="8" t="s">
        <v>15</v>
      </c>
      <c r="D140" s="8" t="s">
        <v>16</v>
      </c>
      <c r="E140" s="8" t="s">
        <v>17</v>
      </c>
      <c r="F140" s="8" t="s">
        <v>50</v>
      </c>
      <c r="G140" s="8" t="s">
        <v>51</v>
      </c>
      <c r="H140" s="8" t="s">
        <v>52</v>
      </c>
      <c r="I140" s="8" t="s">
        <v>53</v>
      </c>
      <c r="J140" s="8" t="s">
        <v>9</v>
      </c>
      <c r="K140" s="9">
        <v>46082.0</v>
      </c>
      <c r="L140" s="8" t="s">
        <v>743</v>
      </c>
      <c r="M140" s="7" t="str">
        <f>IFERROR(__xludf.DUMMYFUNCTION("TEXT(
  IF(RIGHT(A140,2)=""mo"",
    EDATE(DATEVALUE(K140), -VALUE(REGEXEXTRACT(A140,""\d+""))),
    DATEVALUE(K140) - IF(RIGHT(A140,1)=""h"", VALUE(REGEXEXTRACT(A140,""\d+""))/24,
         IF(RIGHT(A140,1)=""d"", VALUE(REGEXEXTRACT(A140,""\d+"")),
      "&amp;"   IF(RIGHT(A140,1)=""w"", VALUE(REGEXEXTRACT(A140,""\d+""))*7,
         0)))
  )
, ""YYYY-M-D"")"),"2026-2-28")</f>
        <v>2026-2-28</v>
      </c>
    </row>
    <row r="141">
      <c r="A141" s="8" t="s">
        <v>744</v>
      </c>
      <c r="B141" s="8" t="s">
        <v>54</v>
      </c>
      <c r="C141" s="8" t="s">
        <v>15</v>
      </c>
      <c r="D141" s="8" t="s">
        <v>44</v>
      </c>
      <c r="E141" s="8" t="s">
        <v>17</v>
      </c>
      <c r="F141" s="8" t="s">
        <v>55</v>
      </c>
      <c r="G141" s="8" t="s">
        <v>56</v>
      </c>
      <c r="H141" s="8" t="s">
        <v>57</v>
      </c>
      <c r="I141" s="8" t="s">
        <v>58</v>
      </c>
      <c r="J141" s="8" t="s">
        <v>9</v>
      </c>
      <c r="K141" s="9">
        <v>46082.0</v>
      </c>
      <c r="L141" s="8" t="s">
        <v>743</v>
      </c>
      <c r="M141" s="7" t="str">
        <f>IFERROR(__xludf.DUMMYFUNCTION("TEXT(
  IF(RIGHT(A141,2)=""mo"",
    EDATE(DATEVALUE(K141), -VALUE(REGEXEXTRACT(A141,""\d+""))),
    DATEVALUE(K141) - IF(RIGHT(A141,1)=""h"", VALUE(REGEXEXTRACT(A141,""\d+""))/24,
         IF(RIGHT(A141,1)=""d"", VALUE(REGEXEXTRACT(A141,""\d+"")),
      "&amp;"   IF(RIGHT(A141,1)=""w"", VALUE(REGEXEXTRACT(A141,""\d+""))*7,
         0)))
  )
, ""YYYY-M-D"")"),"2026-2-28")</f>
        <v>2026-2-28</v>
      </c>
    </row>
    <row r="142">
      <c r="A142" s="8" t="s">
        <v>23</v>
      </c>
      <c r="B142" s="8" t="s">
        <v>60</v>
      </c>
      <c r="C142" s="8" t="s">
        <v>15</v>
      </c>
      <c r="D142" s="8" t="s">
        <v>37</v>
      </c>
      <c r="E142" s="8" t="s">
        <v>61</v>
      </c>
      <c r="F142" s="8" t="s">
        <v>62</v>
      </c>
      <c r="G142" s="8" t="s">
        <v>63</v>
      </c>
      <c r="H142" s="8" t="s">
        <v>64</v>
      </c>
      <c r="I142" s="8" t="s">
        <v>65</v>
      </c>
      <c r="J142" s="8" t="s">
        <v>9</v>
      </c>
      <c r="K142" s="9">
        <v>46082.0</v>
      </c>
      <c r="L142" s="8" t="s">
        <v>743</v>
      </c>
      <c r="M142" s="7" t="str">
        <f>IFERROR(__xludf.DUMMYFUNCTION("TEXT(
  IF(RIGHT(A142,2)=""mo"",
    EDATE(DATEVALUE(K142), -VALUE(REGEXEXTRACT(A142,""\d+""))),
    DATEVALUE(K142) - IF(RIGHT(A142,1)=""h"", VALUE(REGEXEXTRACT(A142,""\d+""))/24,
         IF(RIGHT(A142,1)=""d"", VALUE(REGEXEXTRACT(A142,""\d+"")),
      "&amp;"   IF(RIGHT(A142,1)=""w"", VALUE(REGEXEXTRACT(A142,""\d+""))*7,
         0)))
  )
, ""YYYY-M-D"")"),"2026-2-28")</f>
        <v>2026-2-28</v>
      </c>
    </row>
    <row r="143">
      <c r="A143" s="8" t="s">
        <v>23</v>
      </c>
      <c r="B143" s="8" t="s">
        <v>66</v>
      </c>
      <c r="C143" s="8" t="s">
        <v>15</v>
      </c>
      <c r="D143" s="8" t="s">
        <v>44</v>
      </c>
      <c r="E143" s="8" t="s">
        <v>67</v>
      </c>
      <c r="F143" s="8" t="s">
        <v>68</v>
      </c>
      <c r="G143" s="8" t="s">
        <v>69</v>
      </c>
      <c r="H143" s="8" t="s">
        <v>70</v>
      </c>
      <c r="I143" s="8" t="s">
        <v>71</v>
      </c>
      <c r="J143" s="8" t="s">
        <v>9</v>
      </c>
      <c r="K143" s="9">
        <v>46082.0</v>
      </c>
      <c r="L143" s="8" t="s">
        <v>743</v>
      </c>
      <c r="M143" s="7" t="str">
        <f>IFERROR(__xludf.DUMMYFUNCTION("TEXT(
  IF(RIGHT(A143,2)=""mo"",
    EDATE(DATEVALUE(K143), -VALUE(REGEXEXTRACT(A143,""\d+""))),
    DATEVALUE(K143) - IF(RIGHT(A143,1)=""h"", VALUE(REGEXEXTRACT(A143,""\d+""))/24,
         IF(RIGHT(A143,1)=""d"", VALUE(REGEXEXTRACT(A143,""\d+"")),
      "&amp;"   IF(RIGHT(A143,1)=""w"", VALUE(REGEXEXTRACT(A143,""\d+""))*7,
         0)))
  )
, ""YYYY-M-D"")"),"2026-2-28")</f>
        <v>2026-2-28</v>
      </c>
    </row>
    <row r="144">
      <c r="A144" s="8" t="s">
        <v>23</v>
      </c>
      <c r="B144" s="8" t="s">
        <v>72</v>
      </c>
      <c r="C144" s="8" t="s">
        <v>15</v>
      </c>
      <c r="D144" s="8" t="s">
        <v>16</v>
      </c>
      <c r="E144" s="8" t="s">
        <v>17</v>
      </c>
      <c r="F144" s="8" t="s">
        <v>73</v>
      </c>
      <c r="G144" s="8" t="s">
        <v>74</v>
      </c>
      <c r="H144" s="8" t="s">
        <v>75</v>
      </c>
      <c r="I144" s="8" t="s">
        <v>745</v>
      </c>
      <c r="J144" s="8" t="s">
        <v>9</v>
      </c>
      <c r="K144" s="9">
        <v>46082.0</v>
      </c>
      <c r="L144" s="8" t="s">
        <v>743</v>
      </c>
      <c r="M144" s="7" t="str">
        <f>IFERROR(__xludf.DUMMYFUNCTION("TEXT(
  IF(RIGHT(A144,2)=""mo"",
    EDATE(DATEVALUE(K144), -VALUE(REGEXEXTRACT(A144,""\d+""))),
    DATEVALUE(K144) - IF(RIGHT(A144,1)=""h"", VALUE(REGEXEXTRACT(A144,""\d+""))/24,
         IF(RIGHT(A144,1)=""d"", VALUE(REGEXEXTRACT(A144,""\d+"")),
      "&amp;"   IF(RIGHT(A144,1)=""w"", VALUE(REGEXEXTRACT(A144,""\d+""))*7,
         0)))
  )
, ""YYYY-M-D"")"),"2026-2-28")</f>
        <v>2026-2-28</v>
      </c>
    </row>
    <row r="145">
      <c r="A145" s="8" t="s">
        <v>23</v>
      </c>
      <c r="B145" s="8" t="s">
        <v>76</v>
      </c>
      <c r="C145" s="8" t="s">
        <v>15</v>
      </c>
      <c r="D145" s="8" t="s">
        <v>44</v>
      </c>
      <c r="E145" s="8" t="s">
        <v>17</v>
      </c>
      <c r="F145" s="8" t="s">
        <v>77</v>
      </c>
      <c r="G145" s="8" t="s">
        <v>78</v>
      </c>
      <c r="H145" s="8" t="s">
        <v>79</v>
      </c>
      <c r="I145" s="8" t="s">
        <v>80</v>
      </c>
      <c r="J145" s="8" t="s">
        <v>9</v>
      </c>
      <c r="K145" s="9">
        <v>46082.0</v>
      </c>
      <c r="L145" s="8" t="s">
        <v>743</v>
      </c>
      <c r="M145" s="7" t="str">
        <f>IFERROR(__xludf.DUMMYFUNCTION("TEXT(
  IF(RIGHT(A145,2)=""mo"",
    EDATE(DATEVALUE(K145), -VALUE(REGEXEXTRACT(A145,""\d+""))),
    DATEVALUE(K145) - IF(RIGHT(A145,1)=""h"", VALUE(REGEXEXTRACT(A145,""\d+""))/24,
         IF(RIGHT(A145,1)=""d"", VALUE(REGEXEXTRACT(A145,""\d+"")),
      "&amp;"   IF(RIGHT(A145,1)=""w"", VALUE(REGEXEXTRACT(A145,""\d+""))*7,
         0)))
  )
, ""YYYY-M-D"")"),"2026-2-28")</f>
        <v>2026-2-28</v>
      </c>
    </row>
    <row r="146">
      <c r="A146" s="8" t="s">
        <v>23</v>
      </c>
      <c r="B146" s="8" t="s">
        <v>81</v>
      </c>
      <c r="C146" s="8" t="s">
        <v>15</v>
      </c>
      <c r="D146" s="8" t="s">
        <v>16</v>
      </c>
      <c r="E146" s="8" t="s">
        <v>17</v>
      </c>
      <c r="F146" s="8" t="s">
        <v>82</v>
      </c>
      <c r="G146" s="8" t="s">
        <v>83</v>
      </c>
      <c r="H146" s="8" t="s">
        <v>84</v>
      </c>
      <c r="I146" s="8" t="s">
        <v>85</v>
      </c>
      <c r="J146" s="8" t="s">
        <v>9</v>
      </c>
      <c r="K146" s="9">
        <v>46082.0</v>
      </c>
      <c r="L146" s="8" t="s">
        <v>743</v>
      </c>
      <c r="M146" s="7" t="str">
        <f>IFERROR(__xludf.DUMMYFUNCTION("TEXT(
  IF(RIGHT(A146,2)=""mo"",
    EDATE(DATEVALUE(K146), -VALUE(REGEXEXTRACT(A146,""\d+""))),
    DATEVALUE(K146) - IF(RIGHT(A146,1)=""h"", VALUE(REGEXEXTRACT(A146,""\d+""))/24,
         IF(RIGHT(A146,1)=""d"", VALUE(REGEXEXTRACT(A146,""\d+"")),
      "&amp;"   IF(RIGHT(A146,1)=""w"", VALUE(REGEXEXTRACT(A146,""\d+""))*7,
         0)))
  )
, ""YYYY-M-D"")"),"2026-2-28")</f>
        <v>2026-2-28</v>
      </c>
    </row>
    <row r="147">
      <c r="A147" s="8" t="s">
        <v>23</v>
      </c>
      <c r="B147" s="8" t="s">
        <v>81</v>
      </c>
      <c r="C147" s="8" t="s">
        <v>15</v>
      </c>
      <c r="D147" s="8" t="s">
        <v>16</v>
      </c>
      <c r="E147" s="8" t="s">
        <v>17</v>
      </c>
      <c r="F147" s="8" t="s">
        <v>82</v>
      </c>
      <c r="G147" s="8" t="s">
        <v>86</v>
      </c>
      <c r="H147" s="8" t="s">
        <v>87</v>
      </c>
      <c r="I147" s="8" t="s">
        <v>88</v>
      </c>
      <c r="J147" s="8" t="s">
        <v>9</v>
      </c>
      <c r="K147" s="9">
        <v>46082.0</v>
      </c>
      <c r="L147" s="8" t="s">
        <v>743</v>
      </c>
      <c r="M147" s="7" t="str">
        <f>IFERROR(__xludf.DUMMYFUNCTION("TEXT(
  IF(RIGHT(A147,2)=""mo"",
    EDATE(DATEVALUE(K147), -VALUE(REGEXEXTRACT(A147,""\d+""))),
    DATEVALUE(K147) - IF(RIGHT(A147,1)=""h"", VALUE(REGEXEXTRACT(A147,""\d+""))/24,
         IF(RIGHT(A147,1)=""d"", VALUE(REGEXEXTRACT(A147,""\d+"")),
      "&amp;"   IF(RIGHT(A147,1)=""w"", VALUE(REGEXEXTRACT(A147,""\d+""))*7,
         0)))
  )
, ""YYYY-M-D"")"),"2026-2-28")</f>
        <v>2026-2-28</v>
      </c>
    </row>
    <row r="148">
      <c r="A148" s="8" t="s">
        <v>23</v>
      </c>
      <c r="B148" s="8" t="s">
        <v>89</v>
      </c>
      <c r="C148" s="8" t="s">
        <v>90</v>
      </c>
      <c r="D148" s="8" t="s">
        <v>16</v>
      </c>
      <c r="E148" s="8" t="s">
        <v>17</v>
      </c>
      <c r="F148" s="8" t="s">
        <v>91</v>
      </c>
      <c r="G148" s="8" t="s">
        <v>92</v>
      </c>
      <c r="H148" s="8" t="s">
        <v>93</v>
      </c>
      <c r="I148" s="8" t="s">
        <v>94</v>
      </c>
      <c r="J148" s="8" t="s">
        <v>9</v>
      </c>
      <c r="K148" s="9">
        <v>46082.0</v>
      </c>
      <c r="L148" s="8" t="s">
        <v>743</v>
      </c>
      <c r="M148" s="7" t="str">
        <f>IFERROR(__xludf.DUMMYFUNCTION("TEXT(
  IF(RIGHT(A148,2)=""mo"",
    EDATE(DATEVALUE(K148), -VALUE(REGEXEXTRACT(A148,""\d+""))),
    DATEVALUE(K148) - IF(RIGHT(A148,1)=""h"", VALUE(REGEXEXTRACT(A148,""\d+""))/24,
         IF(RIGHT(A148,1)=""d"", VALUE(REGEXEXTRACT(A148,""\d+"")),
      "&amp;"   IF(RIGHT(A148,1)=""w"", VALUE(REGEXEXTRACT(A148,""\d+""))*7,
         0)))
  )
, ""YYYY-M-D"")"),"2026-2-28")</f>
        <v>2026-2-28</v>
      </c>
    </row>
    <row r="149">
      <c r="A149" s="8" t="s">
        <v>23</v>
      </c>
      <c r="B149" s="8" t="s">
        <v>95</v>
      </c>
      <c r="C149" s="8" t="s">
        <v>15</v>
      </c>
      <c r="D149" s="8" t="s">
        <v>44</v>
      </c>
      <c r="E149" s="8" t="s">
        <v>17</v>
      </c>
      <c r="F149" s="8" t="s">
        <v>96</v>
      </c>
      <c r="G149" s="8" t="s">
        <v>97</v>
      </c>
      <c r="H149" s="8" t="s">
        <v>98</v>
      </c>
      <c r="I149" s="8" t="s">
        <v>99</v>
      </c>
      <c r="J149" s="8" t="s">
        <v>9</v>
      </c>
      <c r="K149" s="9">
        <v>46082.0</v>
      </c>
      <c r="L149" s="8" t="s">
        <v>743</v>
      </c>
      <c r="M149" s="7" t="str">
        <f>IFERROR(__xludf.DUMMYFUNCTION("TEXT(
  IF(RIGHT(A149,2)=""mo"",
    EDATE(DATEVALUE(K149), -VALUE(REGEXEXTRACT(A149,""\d+""))),
    DATEVALUE(K149) - IF(RIGHT(A149,1)=""h"", VALUE(REGEXEXTRACT(A149,""\d+""))/24,
         IF(RIGHT(A149,1)=""d"", VALUE(REGEXEXTRACT(A149,""\d+"")),
      "&amp;"   IF(RIGHT(A149,1)=""w"", VALUE(REGEXEXTRACT(A149,""\d+""))*7,
         0)))
  )
, ""YYYY-M-D"")"),"2026-2-28")</f>
        <v>2026-2-28</v>
      </c>
    </row>
    <row r="150">
      <c r="A150" s="8" t="s">
        <v>23</v>
      </c>
      <c r="B150" s="8" t="s">
        <v>100</v>
      </c>
      <c r="C150" s="8" t="s">
        <v>15</v>
      </c>
      <c r="D150" s="8" t="s">
        <v>16</v>
      </c>
      <c r="E150" s="8" t="s">
        <v>17</v>
      </c>
      <c r="F150" s="8" t="s">
        <v>101</v>
      </c>
      <c r="G150" s="8" t="s">
        <v>102</v>
      </c>
      <c r="H150" s="8" t="s">
        <v>103</v>
      </c>
      <c r="I150" s="8" t="s">
        <v>104</v>
      </c>
      <c r="J150" s="8" t="s">
        <v>9</v>
      </c>
      <c r="K150" s="9">
        <v>46082.0</v>
      </c>
      <c r="L150" s="8" t="s">
        <v>743</v>
      </c>
      <c r="M150" s="7" t="str">
        <f>IFERROR(__xludf.DUMMYFUNCTION("TEXT(
  IF(RIGHT(A150,2)=""mo"",
    EDATE(DATEVALUE(K150), -VALUE(REGEXEXTRACT(A150,""\d+""))),
    DATEVALUE(K150) - IF(RIGHT(A150,1)=""h"", VALUE(REGEXEXTRACT(A150,""\d+""))/24,
         IF(RIGHT(A150,1)=""d"", VALUE(REGEXEXTRACT(A150,""\d+"")),
      "&amp;"   IF(RIGHT(A150,1)=""w"", VALUE(REGEXEXTRACT(A150,""\d+""))*7,
         0)))
  )
, ""YYYY-M-D"")"),"2026-2-28")</f>
        <v>2026-2-28</v>
      </c>
    </row>
    <row r="151">
      <c r="A151" s="8" t="s">
        <v>23</v>
      </c>
      <c r="B151" s="8" t="s">
        <v>105</v>
      </c>
      <c r="C151" s="8" t="s">
        <v>106</v>
      </c>
      <c r="D151" s="8" t="s">
        <v>16</v>
      </c>
      <c r="E151" s="8" t="s">
        <v>17</v>
      </c>
      <c r="F151" s="8" t="s">
        <v>107</v>
      </c>
      <c r="G151" s="8" t="s">
        <v>108</v>
      </c>
      <c r="H151" s="8" t="s">
        <v>109</v>
      </c>
      <c r="I151" s="8" t="s">
        <v>110</v>
      </c>
      <c r="J151" s="8" t="s">
        <v>9</v>
      </c>
      <c r="K151" s="9">
        <v>46082.0</v>
      </c>
      <c r="L151" s="8" t="s">
        <v>743</v>
      </c>
      <c r="M151" s="7" t="str">
        <f>IFERROR(__xludf.DUMMYFUNCTION("TEXT(
  IF(RIGHT(A151,2)=""mo"",
    EDATE(DATEVALUE(K151), -VALUE(REGEXEXTRACT(A151,""\d+""))),
    DATEVALUE(K151) - IF(RIGHT(A151,1)=""h"", VALUE(REGEXEXTRACT(A151,""\d+""))/24,
         IF(RIGHT(A151,1)=""d"", VALUE(REGEXEXTRACT(A151,""\d+"")),
      "&amp;"   IF(RIGHT(A151,1)=""w"", VALUE(REGEXEXTRACT(A151,""\d+""))*7,
         0)))
  )
, ""YYYY-M-D"")"),"2026-2-28")</f>
        <v>2026-2-28</v>
      </c>
    </row>
    <row r="152">
      <c r="A152" s="8" t="s">
        <v>23</v>
      </c>
      <c r="B152" s="8" t="s">
        <v>746</v>
      </c>
      <c r="C152" s="8" t="s">
        <v>15</v>
      </c>
      <c r="D152" s="8" t="s">
        <v>44</v>
      </c>
      <c r="E152" s="8" t="s">
        <v>17</v>
      </c>
      <c r="F152" s="8" t="s">
        <v>149</v>
      </c>
      <c r="G152" s="8" t="s">
        <v>747</v>
      </c>
      <c r="H152" s="8" t="s">
        <v>748</v>
      </c>
      <c r="I152" s="8" t="s">
        <v>21</v>
      </c>
      <c r="J152" s="8" t="s">
        <v>9</v>
      </c>
      <c r="K152" s="9">
        <v>46082.0</v>
      </c>
      <c r="L152" s="8" t="s">
        <v>743</v>
      </c>
      <c r="M152" s="7" t="str">
        <f>IFERROR(__xludf.DUMMYFUNCTION("TEXT(
  IF(RIGHT(A152,2)=""mo"",
    EDATE(DATEVALUE(K152), -VALUE(REGEXEXTRACT(A152,""\d+""))),
    DATEVALUE(K152) - IF(RIGHT(A152,1)=""h"", VALUE(REGEXEXTRACT(A152,""\d+""))/24,
         IF(RIGHT(A152,1)=""d"", VALUE(REGEXEXTRACT(A152,""\d+"")),
      "&amp;"   IF(RIGHT(A152,1)=""w"", VALUE(REGEXEXTRACT(A152,""\d+""))*7,
         0)))
  )
, ""YYYY-M-D"")"),"2026-2-28")</f>
        <v>2026-2-28</v>
      </c>
    </row>
    <row r="153">
      <c r="A153" s="8" t="s">
        <v>23</v>
      </c>
      <c r="B153" s="8" t="s">
        <v>111</v>
      </c>
      <c r="C153" s="8" t="s">
        <v>112</v>
      </c>
      <c r="D153" s="8" t="s">
        <v>37</v>
      </c>
      <c r="E153" s="8" t="s">
        <v>17</v>
      </c>
      <c r="F153" s="8" t="s">
        <v>113</v>
      </c>
      <c r="G153" s="8" t="s">
        <v>114</v>
      </c>
      <c r="H153" s="8" t="s">
        <v>115</v>
      </c>
      <c r="I153" s="8" t="s">
        <v>116</v>
      </c>
      <c r="J153" s="8" t="s">
        <v>9</v>
      </c>
      <c r="K153" s="9">
        <v>46082.0</v>
      </c>
      <c r="L153" s="8" t="s">
        <v>743</v>
      </c>
      <c r="M153" s="7" t="str">
        <f>IFERROR(__xludf.DUMMYFUNCTION("TEXT(
  IF(RIGHT(A153,2)=""mo"",
    EDATE(DATEVALUE(K153), -VALUE(REGEXEXTRACT(A153,""\d+""))),
    DATEVALUE(K153) - IF(RIGHT(A153,1)=""h"", VALUE(REGEXEXTRACT(A153,""\d+""))/24,
         IF(RIGHT(A153,1)=""d"", VALUE(REGEXEXTRACT(A153,""\d+"")),
      "&amp;"   IF(RIGHT(A153,1)=""w"", VALUE(REGEXEXTRACT(A153,""\d+""))*7,
         0)))
  )
, ""YYYY-M-D"")"),"2026-2-28")</f>
        <v>2026-2-28</v>
      </c>
    </row>
    <row r="154">
      <c r="A154" s="8" t="s">
        <v>23</v>
      </c>
      <c r="B154" s="8" t="s">
        <v>117</v>
      </c>
      <c r="C154" s="8" t="s">
        <v>118</v>
      </c>
      <c r="D154" s="8" t="s">
        <v>37</v>
      </c>
      <c r="E154" s="8" t="s">
        <v>17</v>
      </c>
      <c r="F154" s="8" t="s">
        <v>119</v>
      </c>
      <c r="G154" s="8" t="s">
        <v>120</v>
      </c>
      <c r="H154" s="8" t="s">
        <v>121</v>
      </c>
      <c r="I154" s="8" t="s">
        <v>122</v>
      </c>
      <c r="J154" s="8" t="s">
        <v>9</v>
      </c>
      <c r="K154" s="9">
        <v>46082.0</v>
      </c>
      <c r="L154" s="8" t="s">
        <v>743</v>
      </c>
      <c r="M154" s="7" t="str">
        <f>IFERROR(__xludf.DUMMYFUNCTION("TEXT(
  IF(RIGHT(A154,2)=""mo"",
    EDATE(DATEVALUE(K154), -VALUE(REGEXEXTRACT(A154,""\d+""))),
    DATEVALUE(K154) - IF(RIGHT(A154,1)=""h"", VALUE(REGEXEXTRACT(A154,""\d+""))/24,
         IF(RIGHT(A154,1)=""d"", VALUE(REGEXEXTRACT(A154,""\d+"")),
      "&amp;"   IF(RIGHT(A154,1)=""w"", VALUE(REGEXEXTRACT(A154,""\d+""))*7,
         0)))
  )
, ""YYYY-M-D"")"),"2026-2-28")</f>
        <v>2026-2-28</v>
      </c>
    </row>
    <row r="155">
      <c r="A155" s="8" t="s">
        <v>28</v>
      </c>
      <c r="B155" s="8" t="s">
        <v>124</v>
      </c>
      <c r="C155" s="8" t="s">
        <v>15</v>
      </c>
      <c r="D155" s="8" t="s">
        <v>16</v>
      </c>
      <c r="E155" s="8" t="s">
        <v>17</v>
      </c>
      <c r="F155" s="8" t="s">
        <v>125</v>
      </c>
      <c r="G155" s="8" t="s">
        <v>126</v>
      </c>
      <c r="H155" s="8" t="s">
        <v>127</v>
      </c>
      <c r="I155" s="8" t="s">
        <v>128</v>
      </c>
      <c r="J155" s="8" t="s">
        <v>9</v>
      </c>
      <c r="K155" s="9">
        <v>46082.0</v>
      </c>
      <c r="L155" s="8" t="s">
        <v>743</v>
      </c>
      <c r="M155" s="7" t="str">
        <f>IFERROR(__xludf.DUMMYFUNCTION("TEXT(
  IF(RIGHT(A155,2)=""mo"",
    EDATE(DATEVALUE(K155), -VALUE(REGEXEXTRACT(A155,""\d+""))),
    DATEVALUE(K155) - IF(RIGHT(A155,1)=""h"", VALUE(REGEXEXTRACT(A155,""\d+""))/24,
         IF(RIGHT(A155,1)=""d"", VALUE(REGEXEXTRACT(A155,""\d+"")),
      "&amp;"   IF(RIGHT(A155,1)=""w"", VALUE(REGEXEXTRACT(A155,""\d+""))*7,
         0)))
  )
, ""YYYY-M-D"")"),"2026-2-27")</f>
        <v>2026-2-27</v>
      </c>
    </row>
    <row r="156">
      <c r="A156" s="8" t="s">
        <v>28</v>
      </c>
      <c r="B156" s="8" t="s">
        <v>129</v>
      </c>
      <c r="C156" s="8" t="s">
        <v>15</v>
      </c>
      <c r="D156" s="8" t="s">
        <v>16</v>
      </c>
      <c r="E156" s="8" t="s">
        <v>17</v>
      </c>
      <c r="F156" s="8" t="s">
        <v>130</v>
      </c>
      <c r="G156" s="8" t="s">
        <v>131</v>
      </c>
      <c r="H156" s="8" t="s">
        <v>132</v>
      </c>
      <c r="I156" s="8" t="s">
        <v>133</v>
      </c>
      <c r="J156" s="8" t="s">
        <v>9</v>
      </c>
      <c r="K156" s="9">
        <v>46082.0</v>
      </c>
      <c r="L156" s="8" t="s">
        <v>743</v>
      </c>
      <c r="M156" s="7" t="str">
        <f>IFERROR(__xludf.DUMMYFUNCTION("TEXT(
  IF(RIGHT(A156,2)=""mo"",
    EDATE(DATEVALUE(K156), -VALUE(REGEXEXTRACT(A156,""\d+""))),
    DATEVALUE(K156) - IF(RIGHT(A156,1)=""h"", VALUE(REGEXEXTRACT(A156,""\d+""))/24,
         IF(RIGHT(A156,1)=""d"", VALUE(REGEXEXTRACT(A156,""\d+"")),
      "&amp;"   IF(RIGHT(A156,1)=""w"", VALUE(REGEXEXTRACT(A156,""\d+""))*7,
         0)))
  )
, ""YYYY-M-D"")"),"2026-2-27")</f>
        <v>2026-2-27</v>
      </c>
    </row>
    <row r="157">
      <c r="A157" s="8" t="s">
        <v>28</v>
      </c>
      <c r="B157" s="8" t="s">
        <v>134</v>
      </c>
      <c r="C157" s="8" t="s">
        <v>135</v>
      </c>
      <c r="D157" s="8" t="s">
        <v>37</v>
      </c>
      <c r="E157" s="8" t="s">
        <v>67</v>
      </c>
      <c r="F157" s="8" t="s">
        <v>136</v>
      </c>
      <c r="G157" s="8" t="s">
        <v>137</v>
      </c>
      <c r="H157" s="8" t="s">
        <v>138</v>
      </c>
      <c r="I157" s="8" t="s">
        <v>139</v>
      </c>
      <c r="J157" s="8" t="s">
        <v>9</v>
      </c>
      <c r="K157" s="9">
        <v>46082.0</v>
      </c>
      <c r="L157" s="8" t="s">
        <v>743</v>
      </c>
      <c r="M157" s="7" t="str">
        <f>IFERROR(__xludf.DUMMYFUNCTION("TEXT(
  IF(RIGHT(A157,2)=""mo"",
    EDATE(DATEVALUE(K157), -VALUE(REGEXEXTRACT(A157,""\d+""))),
    DATEVALUE(K157) - IF(RIGHT(A157,1)=""h"", VALUE(REGEXEXTRACT(A157,""\d+""))/24,
         IF(RIGHT(A157,1)=""d"", VALUE(REGEXEXTRACT(A157,""\d+"")),
      "&amp;"   IF(RIGHT(A157,1)=""w"", VALUE(REGEXEXTRACT(A157,""\d+""))*7,
         0)))
  )
, ""YYYY-M-D"")"),"2026-2-27")</f>
        <v>2026-2-27</v>
      </c>
    </row>
    <row r="158">
      <c r="A158" s="8" t="s">
        <v>28</v>
      </c>
      <c r="B158" s="8" t="s">
        <v>140</v>
      </c>
      <c r="C158" s="8" t="s">
        <v>118</v>
      </c>
      <c r="D158" s="8" t="s">
        <v>37</v>
      </c>
      <c r="E158" s="8" t="s">
        <v>67</v>
      </c>
      <c r="F158" s="8" t="s">
        <v>141</v>
      </c>
      <c r="G158" s="8" t="s">
        <v>142</v>
      </c>
      <c r="H158" s="8" t="s">
        <v>143</v>
      </c>
      <c r="I158" s="8" t="s">
        <v>21</v>
      </c>
      <c r="J158" s="8" t="s">
        <v>9</v>
      </c>
      <c r="K158" s="9">
        <v>46082.0</v>
      </c>
      <c r="L158" s="8" t="s">
        <v>743</v>
      </c>
      <c r="M158" s="7" t="str">
        <f>IFERROR(__xludf.DUMMYFUNCTION("TEXT(
  IF(RIGHT(A158,2)=""mo"",
    EDATE(DATEVALUE(K158), -VALUE(REGEXEXTRACT(A158,""\d+""))),
    DATEVALUE(K158) - IF(RIGHT(A158,1)=""h"", VALUE(REGEXEXTRACT(A158,""\d+""))/24,
         IF(RIGHT(A158,1)=""d"", VALUE(REGEXEXTRACT(A158,""\d+"")),
      "&amp;"   IF(RIGHT(A158,1)=""w"", VALUE(REGEXEXTRACT(A158,""\d+""))*7,
         0)))
  )
, ""YYYY-M-D"")"),"2026-2-27")</f>
        <v>2026-2-27</v>
      </c>
    </row>
    <row r="159">
      <c r="A159" s="8" t="s">
        <v>42</v>
      </c>
      <c r="B159" s="8" t="s">
        <v>145</v>
      </c>
      <c r="C159" s="8" t="s">
        <v>15</v>
      </c>
      <c r="D159" s="8" t="s">
        <v>44</v>
      </c>
      <c r="E159" s="8" t="s">
        <v>17</v>
      </c>
      <c r="F159" s="8" t="s">
        <v>146</v>
      </c>
      <c r="G159" s="8" t="s">
        <v>147</v>
      </c>
      <c r="H159" s="8" t="s">
        <v>148</v>
      </c>
      <c r="I159" s="8" t="s">
        <v>149</v>
      </c>
      <c r="J159" s="8" t="s">
        <v>9</v>
      </c>
      <c r="K159" s="9">
        <v>46082.0</v>
      </c>
      <c r="L159" s="8" t="s">
        <v>743</v>
      </c>
      <c r="M159" s="7" t="str">
        <f>IFERROR(__xludf.DUMMYFUNCTION("TEXT(
  IF(RIGHT(A159,2)=""mo"",
    EDATE(DATEVALUE(K159), -VALUE(REGEXEXTRACT(A159,""\d+""))),
    DATEVALUE(K159) - IF(RIGHT(A159,1)=""h"", VALUE(REGEXEXTRACT(A159,""\d+""))/24,
         IF(RIGHT(A159,1)=""d"", VALUE(REGEXEXTRACT(A159,""\d+"")),
      "&amp;"   IF(RIGHT(A159,1)=""w"", VALUE(REGEXEXTRACT(A159,""\d+""))*7,
         0)))
  )
, ""YYYY-M-D"")"),"2026-2-26")</f>
        <v>2026-2-26</v>
      </c>
    </row>
    <row r="160">
      <c r="A160" s="8" t="s">
        <v>42</v>
      </c>
      <c r="B160" s="8" t="s">
        <v>156</v>
      </c>
      <c r="C160" s="8" t="s">
        <v>15</v>
      </c>
      <c r="D160" s="8" t="s">
        <v>16</v>
      </c>
      <c r="E160" s="8" t="s">
        <v>17</v>
      </c>
      <c r="F160" s="8" t="s">
        <v>157</v>
      </c>
      <c r="G160" s="8" t="s">
        <v>749</v>
      </c>
      <c r="H160" s="8" t="s">
        <v>159</v>
      </c>
      <c r="I160" s="8" t="s">
        <v>160</v>
      </c>
      <c r="J160" s="8" t="s">
        <v>9</v>
      </c>
      <c r="K160" s="9">
        <v>46082.0</v>
      </c>
      <c r="L160" s="8" t="s">
        <v>743</v>
      </c>
      <c r="M160" s="7" t="str">
        <f>IFERROR(__xludf.DUMMYFUNCTION("TEXT(
  IF(RIGHT(A160,2)=""mo"",
    EDATE(DATEVALUE(K160), -VALUE(REGEXEXTRACT(A160,""\d+""))),
    DATEVALUE(K160) - IF(RIGHT(A160,1)=""h"", VALUE(REGEXEXTRACT(A160,""\d+""))/24,
         IF(RIGHT(A160,1)=""d"", VALUE(REGEXEXTRACT(A160,""\d+"")),
      "&amp;"   IF(RIGHT(A160,1)=""w"", VALUE(REGEXEXTRACT(A160,""\d+""))*7,
         0)))
  )
, ""YYYY-M-D"")"),"2026-2-26")</f>
        <v>2026-2-26</v>
      </c>
    </row>
    <row r="161">
      <c r="A161" s="8" t="s">
        <v>42</v>
      </c>
      <c r="B161" s="8" t="s">
        <v>161</v>
      </c>
      <c r="C161" s="8" t="s">
        <v>162</v>
      </c>
      <c r="D161" s="8" t="s">
        <v>37</v>
      </c>
      <c r="E161" s="8" t="s">
        <v>17</v>
      </c>
      <c r="F161" s="8" t="s">
        <v>163</v>
      </c>
      <c r="G161" s="8" t="s">
        <v>750</v>
      </c>
      <c r="H161" s="8" t="s">
        <v>165</v>
      </c>
      <c r="I161" s="8" t="s">
        <v>166</v>
      </c>
      <c r="J161" s="8" t="s">
        <v>9</v>
      </c>
      <c r="K161" s="9">
        <v>46082.0</v>
      </c>
      <c r="L161" s="8" t="s">
        <v>743</v>
      </c>
      <c r="M161" s="7" t="str">
        <f>IFERROR(__xludf.DUMMYFUNCTION("TEXT(
  IF(RIGHT(A161,2)=""mo"",
    EDATE(DATEVALUE(K161), -VALUE(REGEXEXTRACT(A161,""\d+""))),
    DATEVALUE(K161) - IF(RIGHT(A161,1)=""h"", VALUE(REGEXEXTRACT(A161,""\d+""))/24,
         IF(RIGHT(A161,1)=""d"", VALUE(REGEXEXTRACT(A161,""\d+"")),
      "&amp;"   IF(RIGHT(A161,1)=""w"", VALUE(REGEXEXTRACT(A161,""\d+""))*7,
         0)))
  )
, ""YYYY-M-D"")"),"2026-2-26")</f>
        <v>2026-2-26</v>
      </c>
    </row>
    <row r="162">
      <c r="A162" s="8" t="s">
        <v>42</v>
      </c>
      <c r="B162" s="8" t="s">
        <v>150</v>
      </c>
      <c r="C162" s="8" t="s">
        <v>151</v>
      </c>
      <c r="D162" s="8" t="s">
        <v>16</v>
      </c>
      <c r="E162" s="8" t="s">
        <v>17</v>
      </c>
      <c r="F162" s="8" t="s">
        <v>152</v>
      </c>
      <c r="G162" s="8" t="s">
        <v>153</v>
      </c>
      <c r="H162" s="8" t="s">
        <v>154</v>
      </c>
      <c r="I162" s="8" t="s">
        <v>155</v>
      </c>
      <c r="J162" s="8" t="s">
        <v>9</v>
      </c>
      <c r="K162" s="9">
        <v>46082.0</v>
      </c>
      <c r="L162" s="8" t="s">
        <v>743</v>
      </c>
      <c r="M162" s="7" t="str">
        <f>IFERROR(__xludf.DUMMYFUNCTION("TEXT(
  IF(RIGHT(A162,2)=""mo"",
    EDATE(DATEVALUE(K162), -VALUE(REGEXEXTRACT(A162,""\d+""))),
    DATEVALUE(K162) - IF(RIGHT(A162,1)=""h"", VALUE(REGEXEXTRACT(A162,""\d+""))/24,
         IF(RIGHT(A162,1)=""d"", VALUE(REGEXEXTRACT(A162,""\d+"")),
      "&amp;"   IF(RIGHT(A162,1)=""w"", VALUE(REGEXEXTRACT(A162,""\d+""))*7,
         0)))
  )
, ""YYYY-M-D"")"),"2026-2-26")</f>
        <v>2026-2-26</v>
      </c>
    </row>
    <row r="163">
      <c r="A163" s="8" t="s">
        <v>42</v>
      </c>
      <c r="B163" s="8" t="s">
        <v>751</v>
      </c>
      <c r="C163" s="8" t="s">
        <v>15</v>
      </c>
      <c r="D163" s="8" t="s">
        <v>16</v>
      </c>
      <c r="E163" s="8" t="s">
        <v>17</v>
      </c>
      <c r="F163" s="8" t="s">
        <v>18</v>
      </c>
      <c r="G163" s="8" t="s">
        <v>752</v>
      </c>
      <c r="H163" s="8" t="s">
        <v>753</v>
      </c>
      <c r="I163" s="8" t="s">
        <v>21</v>
      </c>
      <c r="J163" s="8" t="s">
        <v>9</v>
      </c>
      <c r="K163" s="9">
        <v>46082.0</v>
      </c>
      <c r="L163" s="8" t="s">
        <v>743</v>
      </c>
      <c r="M163" s="7" t="str">
        <f>IFERROR(__xludf.DUMMYFUNCTION("TEXT(
  IF(RIGHT(A163,2)=""mo"",
    EDATE(DATEVALUE(K163), -VALUE(REGEXEXTRACT(A163,""\d+""))),
    DATEVALUE(K163) - IF(RIGHT(A163,1)=""h"", VALUE(REGEXEXTRACT(A163,""\d+""))/24,
         IF(RIGHT(A163,1)=""d"", VALUE(REGEXEXTRACT(A163,""\d+"")),
      "&amp;"   IF(RIGHT(A163,1)=""w"", VALUE(REGEXEXTRACT(A163,""\d+""))*7,
         0)))
  )
, ""YYYY-M-D"")"),"2026-2-26")</f>
        <v>2026-2-26</v>
      </c>
    </row>
    <row r="164">
      <c r="A164" s="8" t="s">
        <v>42</v>
      </c>
      <c r="B164" s="8" t="s">
        <v>167</v>
      </c>
      <c r="C164" s="8" t="s">
        <v>168</v>
      </c>
      <c r="D164" s="8" t="s">
        <v>44</v>
      </c>
      <c r="E164" s="8" t="s">
        <v>17</v>
      </c>
      <c r="F164" s="8" t="s">
        <v>169</v>
      </c>
      <c r="G164" s="8" t="s">
        <v>754</v>
      </c>
      <c r="H164" s="8" t="s">
        <v>171</v>
      </c>
      <c r="I164" s="8" t="s">
        <v>172</v>
      </c>
      <c r="J164" s="8" t="s">
        <v>9</v>
      </c>
      <c r="K164" s="9">
        <v>46082.0</v>
      </c>
      <c r="L164" s="8" t="s">
        <v>743</v>
      </c>
      <c r="M164" s="7" t="str">
        <f>IFERROR(__xludf.DUMMYFUNCTION("TEXT(
  IF(RIGHT(A164,2)=""mo"",
    EDATE(DATEVALUE(K164), -VALUE(REGEXEXTRACT(A164,""\d+""))),
    DATEVALUE(K164) - IF(RIGHT(A164,1)=""h"", VALUE(REGEXEXTRACT(A164,""\d+""))/24,
         IF(RIGHT(A164,1)=""d"", VALUE(REGEXEXTRACT(A164,""\d+"")),
      "&amp;"   IF(RIGHT(A164,1)=""w"", VALUE(REGEXEXTRACT(A164,""\d+""))*7,
         0)))
  )
, ""YYYY-M-D"")"),"2026-2-26")</f>
        <v>2026-2-26</v>
      </c>
    </row>
    <row r="165">
      <c r="A165" s="8" t="s">
        <v>59</v>
      </c>
      <c r="B165" s="8" t="s">
        <v>174</v>
      </c>
      <c r="C165" s="8" t="s">
        <v>15</v>
      </c>
      <c r="D165" s="8" t="s">
        <v>16</v>
      </c>
      <c r="E165" s="8" t="s">
        <v>17</v>
      </c>
      <c r="F165" s="8" t="s">
        <v>175</v>
      </c>
      <c r="G165" s="8" t="s">
        <v>755</v>
      </c>
      <c r="H165" s="8" t="s">
        <v>177</v>
      </c>
      <c r="I165" s="8" t="s">
        <v>178</v>
      </c>
      <c r="J165" s="8" t="s">
        <v>9</v>
      </c>
      <c r="K165" s="9">
        <v>46082.0</v>
      </c>
      <c r="L165" s="8" t="s">
        <v>743</v>
      </c>
      <c r="M165" s="7" t="str">
        <f>IFERROR(__xludf.DUMMYFUNCTION("TEXT(
  IF(RIGHT(A165,2)=""mo"",
    EDATE(DATEVALUE(K165), -VALUE(REGEXEXTRACT(A165,""\d+""))),
    DATEVALUE(K165) - IF(RIGHT(A165,1)=""h"", VALUE(REGEXEXTRACT(A165,""\d+""))/24,
         IF(RIGHT(A165,1)=""d"", VALUE(REGEXEXTRACT(A165,""\d+"")),
      "&amp;"   IF(RIGHT(A165,1)=""w"", VALUE(REGEXEXTRACT(A165,""\d+""))*7,
         0)))
  )
, ""YYYY-M-D"")"),"2026-2-25")</f>
        <v>2026-2-25</v>
      </c>
    </row>
    <row r="166">
      <c r="A166" s="8" t="s">
        <v>144</v>
      </c>
      <c r="B166" s="8" t="s">
        <v>179</v>
      </c>
      <c r="C166" s="8" t="s">
        <v>15</v>
      </c>
      <c r="D166" s="8" t="s">
        <v>37</v>
      </c>
      <c r="E166" s="8" t="s">
        <v>180</v>
      </c>
      <c r="F166" s="8" t="s">
        <v>181</v>
      </c>
      <c r="G166" s="8" t="s">
        <v>182</v>
      </c>
      <c r="H166" s="8" t="s">
        <v>183</v>
      </c>
      <c r="I166" s="8" t="s">
        <v>184</v>
      </c>
      <c r="J166" s="8" t="s">
        <v>9</v>
      </c>
      <c r="K166" s="9">
        <v>46082.0</v>
      </c>
      <c r="L166" s="8" t="s">
        <v>743</v>
      </c>
      <c r="M166" s="7" t="str">
        <f>IFERROR(__xludf.DUMMYFUNCTION("TEXT(
  IF(RIGHT(A166,2)=""mo"",
    EDATE(DATEVALUE(K166), -VALUE(REGEXEXTRACT(A166,""\d+""))),
    DATEVALUE(K166) - IF(RIGHT(A166,1)=""h"", VALUE(REGEXEXTRACT(A166,""\d+""))/24,
         IF(RIGHT(A166,1)=""d"", VALUE(REGEXEXTRACT(A166,""\d+"")),
      "&amp;"   IF(RIGHT(A166,1)=""w"", VALUE(REGEXEXTRACT(A166,""\d+""))*7,
         0)))
  )
, ""YYYY-M-D"")"),"2026-2-23")</f>
        <v>2026-2-23</v>
      </c>
    </row>
    <row r="167">
      <c r="A167" s="8" t="s">
        <v>144</v>
      </c>
      <c r="B167" s="8" t="s">
        <v>185</v>
      </c>
      <c r="C167" s="8" t="s">
        <v>15</v>
      </c>
      <c r="D167" s="8" t="s">
        <v>37</v>
      </c>
      <c r="E167" s="8" t="s">
        <v>17</v>
      </c>
      <c r="F167" s="8" t="s">
        <v>186</v>
      </c>
      <c r="G167" s="8" t="s">
        <v>187</v>
      </c>
      <c r="H167" s="8" t="s">
        <v>188</v>
      </c>
      <c r="I167" s="8" t="s">
        <v>189</v>
      </c>
      <c r="J167" s="8" t="s">
        <v>9</v>
      </c>
      <c r="K167" s="9">
        <v>46082.0</v>
      </c>
      <c r="L167" s="8" t="s">
        <v>743</v>
      </c>
      <c r="M167" s="7" t="str">
        <f>IFERROR(__xludf.DUMMYFUNCTION("TEXT(
  IF(RIGHT(A167,2)=""mo"",
    EDATE(DATEVALUE(K167), -VALUE(REGEXEXTRACT(A167,""\d+""))),
    DATEVALUE(K167) - IF(RIGHT(A167,1)=""h"", VALUE(REGEXEXTRACT(A167,""\d+""))/24,
         IF(RIGHT(A167,1)=""d"", VALUE(REGEXEXTRACT(A167,""\d+"")),
      "&amp;"   IF(RIGHT(A167,1)=""w"", VALUE(REGEXEXTRACT(A167,""\d+""))*7,
         0)))
  )
, ""YYYY-M-D"")"),"2026-2-23")</f>
        <v>2026-2-23</v>
      </c>
    </row>
    <row r="168">
      <c r="A168" s="8" t="s">
        <v>173</v>
      </c>
      <c r="B168" s="8" t="s">
        <v>190</v>
      </c>
      <c r="C168" s="8" t="s">
        <v>15</v>
      </c>
      <c r="D168" s="8" t="s">
        <v>16</v>
      </c>
      <c r="E168" s="8" t="s">
        <v>17</v>
      </c>
      <c r="F168" s="8" t="s">
        <v>191</v>
      </c>
      <c r="G168" s="8" t="s">
        <v>756</v>
      </c>
      <c r="H168" s="8" t="s">
        <v>193</v>
      </c>
      <c r="I168" s="8" t="s">
        <v>194</v>
      </c>
      <c r="J168" s="8" t="s">
        <v>9</v>
      </c>
      <c r="K168" s="9">
        <v>46082.0</v>
      </c>
      <c r="L168" s="8" t="s">
        <v>743</v>
      </c>
      <c r="M168" s="7" t="str">
        <f>IFERROR(__xludf.DUMMYFUNCTION("TEXT(
  IF(RIGHT(A168,2)=""mo"",
    EDATE(DATEVALUE(K168), -VALUE(REGEXEXTRACT(A168,""\d+""))),
    DATEVALUE(K168) - IF(RIGHT(A168,1)=""h"", VALUE(REGEXEXTRACT(A168,""\d+""))/24,
         IF(RIGHT(A168,1)=""d"", VALUE(REGEXEXTRACT(A168,""\d+"")),
      "&amp;"   IF(RIGHT(A168,1)=""w"", VALUE(REGEXEXTRACT(A168,""\d+""))*7,
         0)))
  )
, ""YYYY-M-D"")"),"2026-2-22")</f>
        <v>2026-2-22</v>
      </c>
    </row>
    <row r="169">
      <c r="A169" s="8" t="s">
        <v>173</v>
      </c>
      <c r="B169" s="8" t="s">
        <v>190</v>
      </c>
      <c r="C169" s="8" t="s">
        <v>15</v>
      </c>
      <c r="D169" s="8" t="s">
        <v>16</v>
      </c>
      <c r="E169" s="8" t="s">
        <v>17</v>
      </c>
      <c r="F169" s="8" t="s">
        <v>191</v>
      </c>
      <c r="G169" s="8" t="s">
        <v>757</v>
      </c>
      <c r="H169" s="8" t="s">
        <v>196</v>
      </c>
      <c r="I169" s="8" t="s">
        <v>197</v>
      </c>
      <c r="J169" s="8" t="s">
        <v>9</v>
      </c>
      <c r="K169" s="9">
        <v>46082.0</v>
      </c>
      <c r="L169" s="8" t="s">
        <v>743</v>
      </c>
      <c r="M169" s="7" t="str">
        <f>IFERROR(__xludf.DUMMYFUNCTION("TEXT(
  IF(RIGHT(A169,2)=""mo"",
    EDATE(DATEVALUE(K169), -VALUE(REGEXEXTRACT(A169,""\d+""))),
    DATEVALUE(K169) - IF(RIGHT(A169,1)=""h"", VALUE(REGEXEXTRACT(A169,""\d+""))/24,
         IF(RIGHT(A169,1)=""d"", VALUE(REGEXEXTRACT(A169,""\d+"")),
      "&amp;"   IF(RIGHT(A169,1)=""w"", VALUE(REGEXEXTRACT(A169,""\d+""))*7,
         0)))
  )
, ""YYYY-M-D"")"),"2026-2-22")</f>
        <v>2026-2-22</v>
      </c>
    </row>
    <row r="170">
      <c r="A170" s="8" t="s">
        <v>173</v>
      </c>
      <c r="B170" s="8" t="s">
        <v>758</v>
      </c>
      <c r="C170" s="8" t="s">
        <v>118</v>
      </c>
      <c r="D170" s="8" t="s">
        <v>37</v>
      </c>
      <c r="E170" s="8" t="s">
        <v>17</v>
      </c>
      <c r="F170" s="8" t="s">
        <v>38</v>
      </c>
      <c r="G170" s="8" t="s">
        <v>39</v>
      </c>
      <c r="H170" s="8" t="s">
        <v>759</v>
      </c>
      <c r="I170" s="8" t="s">
        <v>760</v>
      </c>
      <c r="J170" s="8" t="s">
        <v>9</v>
      </c>
      <c r="K170" s="9">
        <v>46082.0</v>
      </c>
      <c r="L170" s="8" t="s">
        <v>743</v>
      </c>
      <c r="M170" s="7" t="str">
        <f>IFERROR(__xludf.DUMMYFUNCTION("TEXT(
  IF(RIGHT(A170,2)=""mo"",
    EDATE(DATEVALUE(K170), -VALUE(REGEXEXTRACT(A170,""\d+""))),
    DATEVALUE(K170) - IF(RIGHT(A170,1)=""h"", VALUE(REGEXEXTRACT(A170,""\d+""))/24,
         IF(RIGHT(A170,1)=""d"", VALUE(REGEXEXTRACT(A170,""\d+"")),
      "&amp;"   IF(RIGHT(A170,1)=""w"", VALUE(REGEXEXTRACT(A170,""\d+""))*7,
         0)))
  )
, ""YYYY-M-D"")"),"2026-2-22")</f>
        <v>2026-2-22</v>
      </c>
    </row>
    <row r="171">
      <c r="A171" s="8" t="s">
        <v>173</v>
      </c>
      <c r="B171" s="8" t="s">
        <v>198</v>
      </c>
      <c r="C171" s="8" t="s">
        <v>15</v>
      </c>
      <c r="D171" s="8" t="s">
        <v>44</v>
      </c>
      <c r="E171" s="8" t="s">
        <v>17</v>
      </c>
      <c r="F171" s="8" t="s">
        <v>199</v>
      </c>
      <c r="G171" s="8" t="s">
        <v>200</v>
      </c>
      <c r="H171" s="8" t="s">
        <v>201</v>
      </c>
      <c r="I171" s="8" t="s">
        <v>202</v>
      </c>
      <c r="J171" s="8" t="s">
        <v>9</v>
      </c>
      <c r="K171" s="9">
        <v>46082.0</v>
      </c>
      <c r="L171" s="8" t="s">
        <v>743</v>
      </c>
      <c r="M171" s="7" t="str">
        <f>IFERROR(__xludf.DUMMYFUNCTION("TEXT(
  IF(RIGHT(A171,2)=""mo"",
    EDATE(DATEVALUE(K171), -VALUE(REGEXEXTRACT(A171,""\d+""))),
    DATEVALUE(K171) - IF(RIGHT(A171,1)=""h"", VALUE(REGEXEXTRACT(A171,""\d+""))/24,
         IF(RIGHT(A171,1)=""d"", VALUE(REGEXEXTRACT(A171,""\d+"")),
      "&amp;"   IF(RIGHT(A171,1)=""w"", VALUE(REGEXEXTRACT(A171,""\d+""))*7,
         0)))
  )
, ""YYYY-M-D"")"),"2026-2-22")</f>
        <v>2026-2-22</v>
      </c>
    </row>
    <row r="172">
      <c r="A172" s="8" t="s">
        <v>173</v>
      </c>
      <c r="B172" s="8" t="s">
        <v>203</v>
      </c>
      <c r="C172" s="8" t="s">
        <v>15</v>
      </c>
      <c r="D172" s="8" t="s">
        <v>44</v>
      </c>
      <c r="E172" s="8" t="s">
        <v>17</v>
      </c>
      <c r="F172" s="8" t="s">
        <v>204</v>
      </c>
      <c r="G172" s="8" t="s">
        <v>761</v>
      </c>
      <c r="H172" s="8" t="s">
        <v>206</v>
      </c>
      <c r="I172" s="8" t="s">
        <v>207</v>
      </c>
      <c r="J172" s="8" t="s">
        <v>9</v>
      </c>
      <c r="K172" s="9">
        <v>46082.0</v>
      </c>
      <c r="L172" s="8" t="s">
        <v>743</v>
      </c>
      <c r="M172" s="7" t="str">
        <f>IFERROR(__xludf.DUMMYFUNCTION("TEXT(
  IF(RIGHT(A172,2)=""mo"",
    EDATE(DATEVALUE(K172), -VALUE(REGEXEXTRACT(A172,""\d+""))),
    DATEVALUE(K172) - IF(RIGHT(A172,1)=""h"", VALUE(REGEXEXTRACT(A172,""\d+""))/24,
         IF(RIGHT(A172,1)=""d"", VALUE(REGEXEXTRACT(A172,""\d+"")),
      "&amp;"   IF(RIGHT(A172,1)=""w"", VALUE(REGEXEXTRACT(A172,""\d+""))*7,
         0)))
  )
, ""YYYY-M-D"")"),"2026-2-22")</f>
        <v>2026-2-22</v>
      </c>
    </row>
    <row r="173">
      <c r="A173" s="8" t="s">
        <v>173</v>
      </c>
      <c r="B173" s="8" t="s">
        <v>208</v>
      </c>
      <c r="C173" s="8" t="s">
        <v>118</v>
      </c>
      <c r="D173" s="8" t="s">
        <v>37</v>
      </c>
      <c r="E173" s="8" t="s">
        <v>17</v>
      </c>
      <c r="F173" s="8" t="s">
        <v>209</v>
      </c>
      <c r="G173" s="8" t="s">
        <v>762</v>
      </c>
      <c r="H173" s="8" t="s">
        <v>211</v>
      </c>
      <c r="I173" s="8" t="s">
        <v>212</v>
      </c>
      <c r="J173" s="8" t="s">
        <v>9</v>
      </c>
      <c r="K173" s="9">
        <v>46082.0</v>
      </c>
      <c r="L173" s="8" t="s">
        <v>743</v>
      </c>
      <c r="M173" s="7" t="str">
        <f>IFERROR(__xludf.DUMMYFUNCTION("TEXT(
  IF(RIGHT(A173,2)=""mo"",
    EDATE(DATEVALUE(K173), -VALUE(REGEXEXTRACT(A173,""\d+""))),
    DATEVALUE(K173) - IF(RIGHT(A173,1)=""h"", VALUE(REGEXEXTRACT(A173,""\d+""))/24,
         IF(RIGHT(A173,1)=""d"", VALUE(REGEXEXTRACT(A173,""\d+"")),
      "&amp;"   IF(RIGHT(A173,1)=""w"", VALUE(REGEXEXTRACT(A173,""\d+""))*7,
         0)))
  )
, ""YYYY-M-D"")"),"2026-2-22")</f>
        <v>2026-2-22</v>
      </c>
    </row>
    <row r="174">
      <c r="A174" s="8" t="s">
        <v>173</v>
      </c>
      <c r="B174" s="8" t="s">
        <v>213</v>
      </c>
      <c r="C174" s="8" t="s">
        <v>15</v>
      </c>
      <c r="D174" s="8" t="s">
        <v>16</v>
      </c>
      <c r="E174" s="8" t="s">
        <v>61</v>
      </c>
      <c r="F174" s="8" t="s">
        <v>214</v>
      </c>
      <c r="G174" s="8" t="s">
        <v>215</v>
      </c>
      <c r="H174" s="8" t="s">
        <v>216</v>
      </c>
      <c r="I174" s="8" t="s">
        <v>217</v>
      </c>
      <c r="J174" s="8" t="s">
        <v>9</v>
      </c>
      <c r="K174" s="9">
        <v>46082.0</v>
      </c>
      <c r="L174" s="8" t="s">
        <v>743</v>
      </c>
      <c r="M174" s="7" t="str">
        <f>IFERROR(__xludf.DUMMYFUNCTION("TEXT(
  IF(RIGHT(A174,2)=""mo"",
    EDATE(DATEVALUE(K174), -VALUE(REGEXEXTRACT(A174,""\d+""))),
    DATEVALUE(K174) - IF(RIGHT(A174,1)=""h"", VALUE(REGEXEXTRACT(A174,""\d+""))/24,
         IF(RIGHT(A174,1)=""d"", VALUE(REGEXEXTRACT(A174,""\d+"")),
      "&amp;"   IF(RIGHT(A174,1)=""w"", VALUE(REGEXEXTRACT(A174,""\d+""))*7,
         0)))
  )
, ""YYYY-M-D"")"),"2026-2-22")</f>
        <v>2026-2-22</v>
      </c>
    </row>
    <row r="175">
      <c r="A175" s="8" t="s">
        <v>173</v>
      </c>
      <c r="B175" s="8" t="s">
        <v>218</v>
      </c>
      <c r="C175" s="8" t="s">
        <v>15</v>
      </c>
      <c r="D175" s="8" t="s">
        <v>44</v>
      </c>
      <c r="E175" s="8" t="s">
        <v>17</v>
      </c>
      <c r="F175" s="8" t="s">
        <v>219</v>
      </c>
      <c r="G175" s="8" t="s">
        <v>763</v>
      </c>
      <c r="H175" s="8" t="s">
        <v>221</v>
      </c>
      <c r="I175" s="8" t="s">
        <v>222</v>
      </c>
      <c r="J175" s="8" t="s">
        <v>9</v>
      </c>
      <c r="K175" s="9">
        <v>46082.0</v>
      </c>
      <c r="L175" s="8" t="s">
        <v>743</v>
      </c>
      <c r="M175" s="7" t="str">
        <f>IFERROR(__xludf.DUMMYFUNCTION("TEXT(
  IF(RIGHT(A175,2)=""mo"",
    EDATE(DATEVALUE(K175), -VALUE(REGEXEXTRACT(A175,""\d+""))),
    DATEVALUE(K175) - IF(RIGHT(A175,1)=""h"", VALUE(REGEXEXTRACT(A175,""\d+""))/24,
         IF(RIGHT(A175,1)=""d"", VALUE(REGEXEXTRACT(A175,""\d+"")),
      "&amp;"   IF(RIGHT(A175,1)=""w"", VALUE(REGEXEXTRACT(A175,""\d+""))*7,
         0)))
  )
, ""YYYY-M-D"")"),"2026-2-22")</f>
        <v>2026-2-22</v>
      </c>
    </row>
    <row r="176">
      <c r="A176" s="8" t="s">
        <v>173</v>
      </c>
      <c r="B176" s="8" t="s">
        <v>764</v>
      </c>
      <c r="C176" s="8" t="s">
        <v>765</v>
      </c>
      <c r="D176" s="8" t="s">
        <v>37</v>
      </c>
      <c r="E176" s="8" t="s">
        <v>17</v>
      </c>
      <c r="F176" s="8" t="s">
        <v>766</v>
      </c>
      <c r="G176" s="8" t="s">
        <v>767</v>
      </c>
      <c r="H176" s="8" t="s">
        <v>768</v>
      </c>
      <c r="I176" s="8" t="s">
        <v>769</v>
      </c>
      <c r="J176" s="8" t="s">
        <v>9</v>
      </c>
      <c r="K176" s="9">
        <v>46082.0</v>
      </c>
      <c r="L176" s="8" t="s">
        <v>743</v>
      </c>
      <c r="M176" s="7" t="str">
        <f>IFERROR(__xludf.DUMMYFUNCTION("TEXT(
  IF(RIGHT(A176,2)=""mo"",
    EDATE(DATEVALUE(K176), -VALUE(REGEXEXTRACT(A176,""\d+""))),
    DATEVALUE(K176) - IF(RIGHT(A176,1)=""h"", VALUE(REGEXEXTRACT(A176,""\d+""))/24,
         IF(RIGHT(A176,1)=""d"", VALUE(REGEXEXTRACT(A176,""\d+"")),
      "&amp;"   IF(RIGHT(A176,1)=""w"", VALUE(REGEXEXTRACT(A176,""\d+""))*7,
         0)))
  )
, ""YYYY-M-D"")"),"2026-2-22")</f>
        <v>2026-2-22</v>
      </c>
    </row>
    <row r="177">
      <c r="A177" s="8" t="s">
        <v>173</v>
      </c>
      <c r="B177" s="8" t="s">
        <v>223</v>
      </c>
      <c r="C177" s="8" t="s">
        <v>15</v>
      </c>
      <c r="D177" s="8" t="s">
        <v>44</v>
      </c>
      <c r="E177" s="8" t="s">
        <v>17</v>
      </c>
      <c r="F177" s="8" t="s">
        <v>770</v>
      </c>
      <c r="G177" s="8" t="s">
        <v>771</v>
      </c>
      <c r="H177" s="8" t="s">
        <v>226</v>
      </c>
      <c r="I177" s="8" t="s">
        <v>227</v>
      </c>
      <c r="J177" s="8" t="s">
        <v>9</v>
      </c>
      <c r="K177" s="9">
        <v>46082.0</v>
      </c>
      <c r="L177" s="8" t="s">
        <v>743</v>
      </c>
      <c r="M177" s="7" t="str">
        <f>IFERROR(__xludf.DUMMYFUNCTION("TEXT(
  IF(RIGHT(A177,2)=""mo"",
    EDATE(DATEVALUE(K177), -VALUE(REGEXEXTRACT(A177,""\d+""))),
    DATEVALUE(K177) - IF(RIGHT(A177,1)=""h"", VALUE(REGEXEXTRACT(A177,""\d+""))/24,
         IF(RIGHT(A177,1)=""d"", VALUE(REGEXEXTRACT(A177,""\d+"")),
      "&amp;"   IF(RIGHT(A177,1)=""w"", VALUE(REGEXEXTRACT(A177,""\d+""))*7,
         0)))
  )
, ""YYYY-M-D"")"),"2026-2-22")</f>
        <v>2026-2-22</v>
      </c>
    </row>
    <row r="178">
      <c r="A178" s="8" t="s">
        <v>173</v>
      </c>
      <c r="B178" s="8" t="s">
        <v>772</v>
      </c>
      <c r="C178" s="8" t="s">
        <v>773</v>
      </c>
      <c r="D178" s="8" t="s">
        <v>37</v>
      </c>
      <c r="E178" s="8" t="s">
        <v>67</v>
      </c>
      <c r="F178" s="8" t="s">
        <v>774</v>
      </c>
      <c r="G178" s="8" t="s">
        <v>775</v>
      </c>
      <c r="H178" s="8" t="s">
        <v>776</v>
      </c>
      <c r="I178" s="8" t="s">
        <v>21</v>
      </c>
      <c r="J178" s="8" t="s">
        <v>9</v>
      </c>
      <c r="K178" s="9">
        <v>46082.0</v>
      </c>
      <c r="L178" s="8" t="s">
        <v>743</v>
      </c>
      <c r="M178" s="7" t="str">
        <f>IFERROR(__xludf.DUMMYFUNCTION("TEXT(
  IF(RIGHT(A178,2)=""mo"",
    EDATE(DATEVALUE(K178), -VALUE(REGEXEXTRACT(A178,""\d+""))),
    DATEVALUE(K178) - IF(RIGHT(A178,1)=""h"", VALUE(REGEXEXTRACT(A178,""\d+""))/24,
         IF(RIGHT(A178,1)=""d"", VALUE(REGEXEXTRACT(A178,""\d+"")),
      "&amp;"   IF(RIGHT(A178,1)=""w"", VALUE(REGEXEXTRACT(A178,""\d+""))*7,
         0)))
  )
, ""YYYY-M-D"")"),"2026-2-22")</f>
        <v>2026-2-22</v>
      </c>
    </row>
    <row r="179">
      <c r="A179" s="8" t="s">
        <v>173</v>
      </c>
      <c r="B179" s="8" t="s">
        <v>228</v>
      </c>
      <c r="C179" s="8" t="s">
        <v>15</v>
      </c>
      <c r="D179" s="8" t="s">
        <v>16</v>
      </c>
      <c r="E179" s="8" t="s">
        <v>17</v>
      </c>
      <c r="F179" s="8" t="s">
        <v>229</v>
      </c>
      <c r="G179" s="8" t="s">
        <v>777</v>
      </c>
      <c r="H179" s="8" t="s">
        <v>231</v>
      </c>
      <c r="I179" s="8" t="s">
        <v>232</v>
      </c>
      <c r="J179" s="8" t="s">
        <v>9</v>
      </c>
      <c r="K179" s="9">
        <v>46082.0</v>
      </c>
      <c r="L179" s="8" t="s">
        <v>743</v>
      </c>
      <c r="M179" s="7" t="str">
        <f>IFERROR(__xludf.DUMMYFUNCTION("TEXT(
  IF(RIGHT(A179,2)=""mo"",
    EDATE(DATEVALUE(K179), -VALUE(REGEXEXTRACT(A179,""\d+""))),
    DATEVALUE(K179) - IF(RIGHT(A179,1)=""h"", VALUE(REGEXEXTRACT(A179,""\d+""))/24,
         IF(RIGHT(A179,1)=""d"", VALUE(REGEXEXTRACT(A179,""\d+"")),
      "&amp;"   IF(RIGHT(A179,1)=""w"", VALUE(REGEXEXTRACT(A179,""\d+""))*7,
         0)))
  )
, ""YYYY-M-D"")"),"2026-2-22")</f>
        <v>2026-2-22</v>
      </c>
    </row>
    <row r="180">
      <c r="A180" s="8" t="s">
        <v>173</v>
      </c>
      <c r="B180" s="8" t="s">
        <v>233</v>
      </c>
      <c r="C180" s="8" t="s">
        <v>234</v>
      </c>
      <c r="D180" s="8" t="s">
        <v>44</v>
      </c>
      <c r="E180" s="8" t="s">
        <v>17</v>
      </c>
      <c r="F180" s="8" t="s">
        <v>778</v>
      </c>
      <c r="G180" s="8" t="s">
        <v>779</v>
      </c>
      <c r="H180" s="8" t="s">
        <v>237</v>
      </c>
      <c r="I180" s="8" t="s">
        <v>238</v>
      </c>
      <c r="J180" s="8" t="s">
        <v>9</v>
      </c>
      <c r="K180" s="9">
        <v>46082.0</v>
      </c>
      <c r="L180" s="8" t="s">
        <v>743</v>
      </c>
      <c r="M180" s="7" t="str">
        <f>IFERROR(__xludf.DUMMYFUNCTION("TEXT(
  IF(RIGHT(A180,2)=""mo"",
    EDATE(DATEVALUE(K180), -VALUE(REGEXEXTRACT(A180,""\d+""))),
    DATEVALUE(K180) - IF(RIGHT(A180,1)=""h"", VALUE(REGEXEXTRACT(A180,""\d+""))/24,
         IF(RIGHT(A180,1)=""d"", VALUE(REGEXEXTRACT(A180,""\d+"")),
      "&amp;"   IF(RIGHT(A180,1)=""w"", VALUE(REGEXEXTRACT(A180,""\d+""))*7,
         0)))
  )
, ""YYYY-M-D"")"),"2026-2-22")</f>
        <v>2026-2-22</v>
      </c>
    </row>
    <row r="181">
      <c r="A181" s="8" t="s">
        <v>173</v>
      </c>
      <c r="B181" s="8" t="s">
        <v>780</v>
      </c>
      <c r="C181" s="8" t="s">
        <v>15</v>
      </c>
      <c r="D181" s="8" t="s">
        <v>16</v>
      </c>
      <c r="E181" s="8" t="s">
        <v>17</v>
      </c>
      <c r="F181" s="8" t="s">
        <v>31</v>
      </c>
      <c r="G181" s="8" t="s">
        <v>32</v>
      </c>
      <c r="H181" s="8" t="s">
        <v>781</v>
      </c>
      <c r="I181" s="8" t="s">
        <v>782</v>
      </c>
      <c r="J181" s="8" t="s">
        <v>9</v>
      </c>
      <c r="K181" s="9">
        <v>46082.0</v>
      </c>
      <c r="L181" s="8" t="s">
        <v>743</v>
      </c>
      <c r="M181" s="7" t="str">
        <f>IFERROR(__xludf.DUMMYFUNCTION("TEXT(
  IF(RIGHT(A181,2)=""mo"",
    EDATE(DATEVALUE(K181), -VALUE(REGEXEXTRACT(A181,""\d+""))),
    DATEVALUE(K181) - IF(RIGHT(A181,1)=""h"", VALUE(REGEXEXTRACT(A181,""\d+""))/24,
         IF(RIGHT(A181,1)=""d"", VALUE(REGEXEXTRACT(A181,""\d+"")),
      "&amp;"   IF(RIGHT(A181,1)=""w"", VALUE(REGEXEXTRACT(A181,""\d+""))*7,
         0)))
  )
, ""YYYY-M-D"")"),"2026-2-22")</f>
        <v>2026-2-22</v>
      </c>
    </row>
    <row r="182">
      <c r="A182" s="8" t="s">
        <v>173</v>
      </c>
      <c r="B182" s="8" t="s">
        <v>240</v>
      </c>
      <c r="C182" s="8" t="s">
        <v>15</v>
      </c>
      <c r="D182" s="8" t="s">
        <v>44</v>
      </c>
      <c r="E182" s="8" t="s">
        <v>17</v>
      </c>
      <c r="F182" s="8" t="s">
        <v>241</v>
      </c>
      <c r="G182" s="8" t="s">
        <v>242</v>
      </c>
      <c r="H182" s="8" t="s">
        <v>243</v>
      </c>
      <c r="I182" s="8" t="s">
        <v>244</v>
      </c>
      <c r="J182" s="8" t="s">
        <v>9</v>
      </c>
      <c r="K182" s="9">
        <v>46082.0</v>
      </c>
      <c r="L182" s="8" t="s">
        <v>743</v>
      </c>
      <c r="M182" s="7" t="str">
        <f>IFERROR(__xludf.DUMMYFUNCTION("TEXT(
  IF(RIGHT(A182,2)=""mo"",
    EDATE(DATEVALUE(K182), -VALUE(REGEXEXTRACT(A182,""\d+""))),
    DATEVALUE(K182) - IF(RIGHT(A182,1)=""h"", VALUE(REGEXEXTRACT(A182,""\d+""))/24,
         IF(RIGHT(A182,1)=""d"", VALUE(REGEXEXTRACT(A182,""\d+"")),
      "&amp;"   IF(RIGHT(A182,1)=""w"", VALUE(REGEXEXTRACT(A182,""\d+""))*7,
         0)))
  )
, ""YYYY-M-D"")"),"2026-2-22")</f>
        <v>2026-2-22</v>
      </c>
    </row>
    <row r="183">
      <c r="A183" s="8" t="s">
        <v>173</v>
      </c>
      <c r="B183" s="8" t="s">
        <v>245</v>
      </c>
      <c r="C183" s="8" t="s">
        <v>246</v>
      </c>
      <c r="D183" s="8" t="s">
        <v>44</v>
      </c>
      <c r="E183" s="8" t="s">
        <v>17</v>
      </c>
      <c r="F183" s="8" t="s">
        <v>247</v>
      </c>
      <c r="G183" s="8" t="s">
        <v>248</v>
      </c>
      <c r="H183" s="8" t="s">
        <v>249</v>
      </c>
      <c r="I183" s="8" t="s">
        <v>250</v>
      </c>
      <c r="J183" s="8" t="s">
        <v>9</v>
      </c>
      <c r="K183" s="9">
        <v>46082.0</v>
      </c>
      <c r="L183" s="8" t="s">
        <v>743</v>
      </c>
      <c r="M183" s="7" t="str">
        <f>IFERROR(__xludf.DUMMYFUNCTION("TEXT(
  IF(RIGHT(A183,2)=""mo"",
    EDATE(DATEVALUE(K183), -VALUE(REGEXEXTRACT(A183,""\d+""))),
    DATEVALUE(K183) - IF(RIGHT(A183,1)=""h"", VALUE(REGEXEXTRACT(A183,""\d+""))/24,
         IF(RIGHT(A183,1)=""d"", VALUE(REGEXEXTRACT(A183,""\d+"")),
      "&amp;"   IF(RIGHT(A183,1)=""w"", VALUE(REGEXEXTRACT(A183,""\d+""))*7,
         0)))
  )
, ""YYYY-M-D"")"),"2026-2-22")</f>
        <v>2026-2-22</v>
      </c>
    </row>
    <row r="184">
      <c r="A184" s="8" t="s">
        <v>173</v>
      </c>
      <c r="B184" s="8" t="s">
        <v>240</v>
      </c>
      <c r="C184" s="8" t="s">
        <v>15</v>
      </c>
      <c r="D184" s="8" t="s">
        <v>44</v>
      </c>
      <c r="E184" s="8" t="s">
        <v>17</v>
      </c>
      <c r="F184" s="8" t="s">
        <v>241</v>
      </c>
      <c r="G184" s="8" t="s">
        <v>783</v>
      </c>
      <c r="H184" s="8" t="s">
        <v>253</v>
      </c>
      <c r="I184" s="8" t="s">
        <v>254</v>
      </c>
      <c r="J184" s="8" t="s">
        <v>9</v>
      </c>
      <c r="K184" s="9">
        <v>46082.0</v>
      </c>
      <c r="L184" s="8" t="s">
        <v>743</v>
      </c>
      <c r="M184" s="7" t="str">
        <f>IFERROR(__xludf.DUMMYFUNCTION("TEXT(
  IF(RIGHT(A184,2)=""mo"",
    EDATE(DATEVALUE(K184), -VALUE(REGEXEXTRACT(A184,""\d+""))),
    DATEVALUE(K184) - IF(RIGHT(A184,1)=""h"", VALUE(REGEXEXTRACT(A184,""\d+""))/24,
         IF(RIGHT(A184,1)=""d"", VALUE(REGEXEXTRACT(A184,""\d+"")),
      "&amp;"   IF(RIGHT(A184,1)=""w"", VALUE(REGEXEXTRACT(A184,""\d+""))*7,
         0)))
  )
, ""YYYY-M-D"")"),"2026-2-22")</f>
        <v>2026-2-22</v>
      </c>
    </row>
    <row r="185">
      <c r="A185" s="10" t="s">
        <v>123</v>
      </c>
      <c r="B185" s="10" t="s">
        <v>81</v>
      </c>
      <c r="C185" s="10" t="s">
        <v>15</v>
      </c>
      <c r="D185" s="10" t="s">
        <v>16</v>
      </c>
      <c r="E185" s="10" t="s">
        <v>17</v>
      </c>
      <c r="F185" s="10" t="s">
        <v>82</v>
      </c>
      <c r="G185" s="10" t="s">
        <v>83</v>
      </c>
      <c r="H185" s="10" t="s">
        <v>84</v>
      </c>
      <c r="I185" s="10" t="s">
        <v>85</v>
      </c>
      <c r="J185" s="10" t="s">
        <v>9</v>
      </c>
      <c r="K185" s="5">
        <v>46084.0</v>
      </c>
      <c r="L185" s="11" t="s">
        <v>784</v>
      </c>
      <c r="M185" s="7" t="str">
        <f>IFERROR(__xludf.DUMMYFUNCTION("TEXT(
  IF(RIGHT(A185,2)=""mo"",
    EDATE(DATEVALUE(K185), -VALUE(REGEXEXTRACT(A185,""\d+""))),
    DATEVALUE(K185) - IF(RIGHT(A185,1)=""h"", VALUE(REGEXEXTRACT(A185,""\d+""))/24,
         IF(RIGHT(A185,1)=""d"", VALUE(REGEXEXTRACT(A185,""\d+"")),
      "&amp;"   IF(RIGHT(A185,1)=""w"", VALUE(REGEXEXTRACT(A185,""\d+""))*7,
         0)))
  )
, ""YYYY-M-D"")"),"2026-2-26")</f>
        <v>2026-2-26</v>
      </c>
    </row>
    <row r="186">
      <c r="A186" s="10" t="s">
        <v>785</v>
      </c>
      <c r="B186" s="10" t="s">
        <v>786</v>
      </c>
      <c r="C186" s="10" t="s">
        <v>15</v>
      </c>
      <c r="D186" s="10" t="s">
        <v>16</v>
      </c>
      <c r="E186" s="10" t="s">
        <v>17</v>
      </c>
      <c r="F186" s="10" t="s">
        <v>787</v>
      </c>
      <c r="G186" s="10" t="s">
        <v>788</v>
      </c>
      <c r="H186" s="10" t="s">
        <v>789</v>
      </c>
      <c r="I186" s="10" t="s">
        <v>790</v>
      </c>
      <c r="J186" s="10" t="s">
        <v>9</v>
      </c>
      <c r="K186" s="5">
        <v>46084.0</v>
      </c>
      <c r="L186" s="11" t="s">
        <v>784</v>
      </c>
      <c r="M186" s="7" t="str">
        <f>IFERROR(__xludf.DUMMYFUNCTION("TEXT(
  IF(RIGHT(A186,2)=""mo"",
    EDATE(DATEVALUE(K186), -VALUE(REGEXEXTRACT(A186,""\d+""))),
    DATEVALUE(K186) - IF(RIGHT(A186,1)=""h"", VALUE(REGEXEXTRACT(A186,""\d+""))/24,
         IF(RIGHT(A186,1)=""d"", VALUE(REGEXEXTRACT(A186,""\d+"")),
      "&amp;"   IF(RIGHT(A186,1)=""w"", VALUE(REGEXEXTRACT(A186,""\d+""))*7,
         0)))
  )
, ""YYYY-M-D"")"),"2026-3-2")</f>
        <v>2026-3-2</v>
      </c>
    </row>
    <row r="187">
      <c r="A187" s="10" t="s">
        <v>370</v>
      </c>
      <c r="B187" s="10" t="s">
        <v>255</v>
      </c>
      <c r="C187" s="10" t="s">
        <v>15</v>
      </c>
      <c r="D187" s="10" t="s">
        <v>44</v>
      </c>
      <c r="E187" s="10" t="s">
        <v>17</v>
      </c>
      <c r="F187" s="10" t="s">
        <v>376</v>
      </c>
      <c r="G187" s="10" t="s">
        <v>377</v>
      </c>
      <c r="H187" s="10" t="s">
        <v>378</v>
      </c>
      <c r="I187" s="10" t="s">
        <v>21</v>
      </c>
      <c r="J187" s="10" t="s">
        <v>9</v>
      </c>
      <c r="K187" s="5">
        <v>46084.0</v>
      </c>
      <c r="L187" s="11" t="s">
        <v>784</v>
      </c>
      <c r="M187" s="7" t="str">
        <f>IFERROR(__xludf.DUMMYFUNCTION("TEXT(
  IF(RIGHT(A187,2)=""mo"",
    EDATE(DATEVALUE(K187), -VALUE(REGEXEXTRACT(A187,""\d+""))),
    DATEVALUE(K187) - IF(RIGHT(A187,1)=""h"", VALUE(REGEXEXTRACT(A187,""\d+""))/24,
         IF(RIGHT(A187,1)=""d"", VALUE(REGEXEXTRACT(A187,""\d+"")),
      "&amp;"   IF(RIGHT(A187,1)=""w"", VALUE(REGEXEXTRACT(A187,""\d+""))*7,
         0)))
  )
, ""YYYY-M-D"")"),"2026-2-3")</f>
        <v>2026-2-3</v>
      </c>
    </row>
    <row r="188">
      <c r="A188" s="10" t="s">
        <v>239</v>
      </c>
      <c r="B188" s="10" t="s">
        <v>791</v>
      </c>
      <c r="C188" s="10" t="s">
        <v>15</v>
      </c>
      <c r="D188" s="10" t="s">
        <v>44</v>
      </c>
      <c r="E188" s="10" t="s">
        <v>17</v>
      </c>
      <c r="F188" s="10" t="s">
        <v>199</v>
      </c>
      <c r="G188" s="10" t="s">
        <v>200</v>
      </c>
      <c r="H188" s="10" t="s">
        <v>792</v>
      </c>
      <c r="I188" s="10" t="s">
        <v>793</v>
      </c>
      <c r="J188" s="10" t="s">
        <v>9</v>
      </c>
      <c r="K188" s="5">
        <v>46084.0</v>
      </c>
      <c r="L188" s="11" t="s">
        <v>784</v>
      </c>
      <c r="M188" s="7" t="str">
        <f>IFERROR(__xludf.DUMMYFUNCTION("TEXT(
  IF(RIGHT(A188,2)=""mo"",
    EDATE(DATEVALUE(K188), -VALUE(REGEXEXTRACT(A188,""\d+""))),
    DATEVALUE(K188) - IF(RIGHT(A188,1)=""h"", VALUE(REGEXEXTRACT(A188,""\d+""))/24,
         IF(RIGHT(A188,1)=""d"", VALUE(REGEXEXTRACT(A188,""\d+"")),
      "&amp;"   IF(RIGHT(A188,1)=""w"", VALUE(REGEXEXTRACT(A188,""\d+""))*7,
         0)))
  )
, ""YYYY-M-D"")"),"2026-2-17")</f>
        <v>2026-2-17</v>
      </c>
    </row>
    <row r="189">
      <c r="A189" s="10" t="s">
        <v>239</v>
      </c>
      <c r="B189" s="10" t="s">
        <v>255</v>
      </c>
      <c r="C189" s="10" t="s">
        <v>15</v>
      </c>
      <c r="D189" s="10" t="s">
        <v>16</v>
      </c>
      <c r="E189" s="10" t="s">
        <v>17</v>
      </c>
      <c r="F189" s="10" t="s">
        <v>130</v>
      </c>
      <c r="G189" s="10" t="s">
        <v>131</v>
      </c>
      <c r="H189" s="10" t="s">
        <v>794</v>
      </c>
      <c r="I189" s="10" t="s">
        <v>795</v>
      </c>
      <c r="J189" s="10" t="s">
        <v>9</v>
      </c>
      <c r="K189" s="5">
        <v>46084.0</v>
      </c>
      <c r="L189" s="11" t="s">
        <v>784</v>
      </c>
      <c r="M189" s="7" t="str">
        <f>IFERROR(__xludf.DUMMYFUNCTION("TEXT(
  IF(RIGHT(A189,2)=""mo"",
    EDATE(DATEVALUE(K189), -VALUE(REGEXEXTRACT(A189,""\d+""))),
    DATEVALUE(K189) - IF(RIGHT(A189,1)=""h"", VALUE(REGEXEXTRACT(A189,""\d+""))/24,
         IF(RIGHT(A189,1)=""d"", VALUE(REGEXEXTRACT(A189,""\d+"")),
      "&amp;"   IF(RIGHT(A189,1)=""w"", VALUE(REGEXEXTRACT(A189,""\d+""))*7,
         0)))
  )
, ""YYYY-M-D"")"),"2026-2-17")</f>
        <v>2026-2-17</v>
      </c>
    </row>
    <row r="190">
      <c r="A190" s="10" t="s">
        <v>321</v>
      </c>
      <c r="B190" s="10" t="s">
        <v>315</v>
      </c>
      <c r="C190" s="10" t="s">
        <v>316</v>
      </c>
      <c r="D190" s="10" t="s">
        <v>16</v>
      </c>
      <c r="E190" s="10" t="s">
        <v>17</v>
      </c>
      <c r="F190" s="10" t="s">
        <v>317</v>
      </c>
      <c r="G190" s="10" t="s">
        <v>322</v>
      </c>
      <c r="H190" s="10" t="s">
        <v>323</v>
      </c>
      <c r="I190" s="10" t="s">
        <v>324</v>
      </c>
      <c r="J190" s="10" t="s">
        <v>9</v>
      </c>
      <c r="K190" s="5">
        <v>46084.0</v>
      </c>
      <c r="L190" s="11" t="s">
        <v>784</v>
      </c>
      <c r="M190" s="7" t="str">
        <f>IFERROR(__xludf.DUMMYFUNCTION("TEXT(
  IF(RIGHT(A190,2)=""mo"",
    EDATE(DATEVALUE(K190), -VALUE(REGEXEXTRACT(A190,""\d+""))),
    DATEVALUE(K190) - IF(RIGHT(A190,1)=""h"", VALUE(REGEXEXTRACT(A190,""\d+""))/24,
         IF(RIGHT(A190,1)=""d"", VALUE(REGEXEXTRACT(A190,""\d+"")),
      "&amp;"   IF(RIGHT(A190,1)=""w"", VALUE(REGEXEXTRACT(A190,""\d+""))*7,
         0)))
  )
, ""YYYY-M-D"")"),"2026-2-10")</f>
        <v>2026-2-10</v>
      </c>
    </row>
    <row r="191">
      <c r="A191" s="10" t="s">
        <v>379</v>
      </c>
      <c r="B191" s="10" t="s">
        <v>394</v>
      </c>
      <c r="C191" s="10" t="s">
        <v>15</v>
      </c>
      <c r="D191" s="10" t="s">
        <v>16</v>
      </c>
      <c r="E191" s="10" t="s">
        <v>17</v>
      </c>
      <c r="F191" s="10" t="s">
        <v>796</v>
      </c>
      <c r="G191" s="10" t="s">
        <v>797</v>
      </c>
      <c r="H191" s="10" t="s">
        <v>798</v>
      </c>
      <c r="I191" s="10" t="s">
        <v>799</v>
      </c>
      <c r="J191" s="10" t="s">
        <v>9</v>
      </c>
      <c r="K191" s="5">
        <v>46084.0</v>
      </c>
      <c r="L191" s="11" t="s">
        <v>784</v>
      </c>
      <c r="M191" s="7" t="str">
        <f>IFERROR(__xludf.DUMMYFUNCTION("TEXT(
  IF(RIGHT(A191,2)=""mo"",
    EDATE(DATEVALUE(K191), -VALUE(REGEXEXTRACT(A191,""\d+""))),
    DATEVALUE(K191) - IF(RIGHT(A191,1)=""h"", VALUE(REGEXEXTRACT(A191,""\d+""))/24,
         IF(RIGHT(A191,1)=""d"", VALUE(REGEXEXTRACT(A191,""\d+"")),
      "&amp;"   IF(RIGHT(A191,1)=""w"", VALUE(REGEXEXTRACT(A191,""\d+""))*7,
         0)))
  )
, ""YYYY-M-D"")"),"2026-2-3")</f>
        <v>2026-2-3</v>
      </c>
    </row>
    <row r="192">
      <c r="A192" s="10" t="s">
        <v>581</v>
      </c>
      <c r="B192" s="10" t="s">
        <v>315</v>
      </c>
      <c r="C192" s="10" t="s">
        <v>618</v>
      </c>
      <c r="D192" s="10" t="s">
        <v>44</v>
      </c>
      <c r="E192" s="10" t="s">
        <v>17</v>
      </c>
      <c r="F192" s="10" t="s">
        <v>619</v>
      </c>
      <c r="G192" s="10" t="s">
        <v>620</v>
      </c>
      <c r="H192" s="10" t="s">
        <v>621</v>
      </c>
      <c r="I192" s="10" t="s">
        <v>622</v>
      </c>
      <c r="J192" s="10" t="s">
        <v>9</v>
      </c>
      <c r="K192" s="5">
        <v>46084.0</v>
      </c>
      <c r="L192" s="11" t="s">
        <v>784</v>
      </c>
      <c r="M192" s="7" t="str">
        <f>IFERROR(__xludf.DUMMYFUNCTION("TEXT(
  IF(RIGHT(A192,2)=""mo"",
    EDATE(DATEVALUE(K192), -VALUE(REGEXEXTRACT(A192,""\d+""))),
    DATEVALUE(K192) - IF(RIGHT(A192,1)=""h"", VALUE(REGEXEXTRACT(A192,""\d+""))/24,
         IF(RIGHT(A192,1)=""d"", VALUE(REGEXEXTRACT(A192,""\d+"")),
      "&amp;"   IF(RIGHT(A192,1)=""w"", VALUE(REGEXEXTRACT(A192,""\d+""))*7,
         0)))
  )
, ""YYYY-M-D"")"),"2026-1-3")</f>
        <v>2026-1-3</v>
      </c>
    </row>
    <row r="193">
      <c r="A193" s="10" t="s">
        <v>379</v>
      </c>
      <c r="B193" s="10" t="s">
        <v>394</v>
      </c>
      <c r="C193" s="10" t="s">
        <v>15</v>
      </c>
      <c r="D193" s="10" t="s">
        <v>16</v>
      </c>
      <c r="E193" s="10" t="s">
        <v>17</v>
      </c>
      <c r="F193" s="10" t="s">
        <v>395</v>
      </c>
      <c r="G193" s="10" t="s">
        <v>800</v>
      </c>
      <c r="H193" s="10" t="s">
        <v>397</v>
      </c>
      <c r="I193" s="10" t="s">
        <v>398</v>
      </c>
      <c r="J193" s="10" t="s">
        <v>9</v>
      </c>
      <c r="K193" s="5">
        <v>46084.0</v>
      </c>
      <c r="L193" s="11" t="s">
        <v>784</v>
      </c>
      <c r="M193" s="7" t="str">
        <f>IFERROR(__xludf.DUMMYFUNCTION("TEXT(
  IF(RIGHT(A193,2)=""mo"",
    EDATE(DATEVALUE(K193), -VALUE(REGEXEXTRACT(A193,""\d+""))),
    DATEVALUE(K193) - IF(RIGHT(A193,1)=""h"", VALUE(REGEXEXTRACT(A193,""\d+""))/24,
         IF(RIGHT(A193,1)=""d"", VALUE(REGEXEXTRACT(A193,""\d+"")),
      "&amp;"   IF(RIGHT(A193,1)=""w"", VALUE(REGEXEXTRACT(A193,""\d+""))*7,
         0)))
  )
, ""YYYY-M-D"")"),"2026-2-3")</f>
        <v>2026-2-3</v>
      </c>
    </row>
    <row r="194">
      <c r="A194" s="10" t="s">
        <v>581</v>
      </c>
      <c r="B194" s="10" t="s">
        <v>592</v>
      </c>
      <c r="C194" s="10" t="s">
        <v>15</v>
      </c>
      <c r="D194" s="10" t="s">
        <v>44</v>
      </c>
      <c r="E194" s="10" t="s">
        <v>17</v>
      </c>
      <c r="F194" s="10" t="s">
        <v>603</v>
      </c>
      <c r="G194" s="10" t="s">
        <v>801</v>
      </c>
      <c r="H194" s="10" t="s">
        <v>605</v>
      </c>
      <c r="I194" s="10" t="s">
        <v>606</v>
      </c>
      <c r="J194" s="10" t="s">
        <v>9</v>
      </c>
      <c r="K194" s="5">
        <v>46084.0</v>
      </c>
      <c r="L194" s="11" t="s">
        <v>784</v>
      </c>
      <c r="M194" s="7" t="str">
        <f>IFERROR(__xludf.DUMMYFUNCTION("TEXT(
  IF(RIGHT(A194,2)=""mo"",
    EDATE(DATEVALUE(K194), -VALUE(REGEXEXTRACT(A194,""\d+""))),
    DATEVALUE(K194) - IF(RIGHT(A194,1)=""h"", VALUE(REGEXEXTRACT(A194,""\d+""))/24,
         IF(RIGHT(A194,1)=""d"", VALUE(REGEXEXTRACT(A194,""\d+"")),
      "&amp;"   IF(RIGHT(A194,1)=""w"", VALUE(REGEXEXTRACT(A194,""\d+""))*7,
         0)))
  )
, ""YYYY-M-D"")"),"2026-1-3")</f>
        <v>2026-1-3</v>
      </c>
    </row>
    <row r="195">
      <c r="A195" s="10" t="s">
        <v>321</v>
      </c>
      <c r="B195" s="10" t="s">
        <v>315</v>
      </c>
      <c r="C195" s="10" t="s">
        <v>316</v>
      </c>
      <c r="D195" s="10" t="s">
        <v>16</v>
      </c>
      <c r="E195" s="10" t="s">
        <v>17</v>
      </c>
      <c r="F195" s="10" t="s">
        <v>317</v>
      </c>
      <c r="G195" s="10" t="s">
        <v>318</v>
      </c>
      <c r="H195" s="10" t="s">
        <v>319</v>
      </c>
      <c r="I195" s="10" t="s">
        <v>320</v>
      </c>
      <c r="J195" s="10" t="s">
        <v>9</v>
      </c>
      <c r="K195" s="5">
        <v>46084.0</v>
      </c>
      <c r="L195" s="11" t="s">
        <v>784</v>
      </c>
      <c r="M195" s="7" t="str">
        <f>IFERROR(__xludf.DUMMYFUNCTION("TEXT(
  IF(RIGHT(A195,2)=""mo"",
    EDATE(DATEVALUE(K195), -VALUE(REGEXEXTRACT(A195,""\d+""))),
    DATEVALUE(K195) - IF(RIGHT(A195,1)=""h"", VALUE(REGEXEXTRACT(A195,""\d+""))/24,
         IF(RIGHT(A195,1)=""d"", VALUE(REGEXEXTRACT(A195,""\d+"")),
      "&amp;"   IF(RIGHT(A195,1)=""w"", VALUE(REGEXEXTRACT(A195,""\d+""))*7,
         0)))
  )
, ""YYYY-M-D"")"),"2026-2-10")</f>
        <v>2026-2-10</v>
      </c>
    </row>
    <row r="196">
      <c r="A196" s="10" t="s">
        <v>379</v>
      </c>
      <c r="B196" s="10" t="s">
        <v>802</v>
      </c>
      <c r="C196" s="10" t="s">
        <v>15</v>
      </c>
      <c r="D196" s="10" t="s">
        <v>44</v>
      </c>
      <c r="E196" s="10" t="s">
        <v>17</v>
      </c>
      <c r="F196" s="10" t="s">
        <v>444</v>
      </c>
      <c r="G196" s="10" t="s">
        <v>445</v>
      </c>
      <c r="H196" s="10" t="s">
        <v>803</v>
      </c>
      <c r="I196" s="10" t="s">
        <v>804</v>
      </c>
      <c r="J196" s="10" t="s">
        <v>9</v>
      </c>
      <c r="K196" s="5">
        <v>46084.0</v>
      </c>
      <c r="L196" s="11" t="s">
        <v>784</v>
      </c>
      <c r="M196" s="7" t="str">
        <f>IFERROR(__xludf.DUMMYFUNCTION("TEXT(
  IF(RIGHT(A196,2)=""mo"",
    EDATE(DATEVALUE(K196), -VALUE(REGEXEXTRACT(A196,""\d+""))),
    DATEVALUE(K196) - IF(RIGHT(A196,1)=""h"", VALUE(REGEXEXTRACT(A196,""\d+""))/24,
         IF(RIGHT(A196,1)=""d"", VALUE(REGEXEXTRACT(A196,""\d+"")),
      "&amp;"   IF(RIGHT(A196,1)=""w"", VALUE(REGEXEXTRACT(A196,""\d+""))*7,
         0)))
  )
, ""YYYY-M-D"")"),"2026-2-3")</f>
        <v>2026-2-3</v>
      </c>
    </row>
    <row r="197">
      <c r="A197" s="10" t="s">
        <v>581</v>
      </c>
      <c r="B197" s="10" t="s">
        <v>805</v>
      </c>
      <c r="C197" s="10" t="s">
        <v>15</v>
      </c>
      <c r="D197" s="10" t="s">
        <v>16</v>
      </c>
      <c r="E197" s="10" t="s">
        <v>17</v>
      </c>
      <c r="F197" s="10" t="s">
        <v>806</v>
      </c>
      <c r="G197" s="10" t="s">
        <v>807</v>
      </c>
      <c r="H197" s="10" t="s">
        <v>808</v>
      </c>
      <c r="I197" s="10" t="s">
        <v>809</v>
      </c>
      <c r="J197" s="10" t="s">
        <v>9</v>
      </c>
      <c r="K197" s="5">
        <v>46084.0</v>
      </c>
      <c r="L197" s="11" t="s">
        <v>784</v>
      </c>
      <c r="M197" s="7" t="str">
        <f>IFERROR(__xludf.DUMMYFUNCTION("TEXT(
  IF(RIGHT(A197,2)=""mo"",
    EDATE(DATEVALUE(K197), -VALUE(REGEXEXTRACT(A197,""\d+""))),
    DATEVALUE(K197) - IF(RIGHT(A197,1)=""h"", VALUE(REGEXEXTRACT(A197,""\d+""))/24,
         IF(RIGHT(A197,1)=""d"", VALUE(REGEXEXTRACT(A197,""\d+"")),
      "&amp;"   IF(RIGHT(A197,1)=""w"", VALUE(REGEXEXTRACT(A197,""\d+""))*7,
         0)))
  )
, ""YYYY-M-D"")"),"2026-1-3")</f>
        <v>2026-1-3</v>
      </c>
    </row>
    <row r="198">
      <c r="A198" s="10" t="s">
        <v>321</v>
      </c>
      <c r="B198" s="10" t="s">
        <v>592</v>
      </c>
      <c r="C198" s="10" t="s">
        <v>15</v>
      </c>
      <c r="D198" s="10" t="s">
        <v>16</v>
      </c>
      <c r="E198" s="10" t="s">
        <v>17</v>
      </c>
      <c r="F198" s="10" t="s">
        <v>62</v>
      </c>
      <c r="G198" s="10" t="s">
        <v>810</v>
      </c>
      <c r="H198" s="10" t="s">
        <v>811</v>
      </c>
      <c r="I198" s="10" t="s">
        <v>812</v>
      </c>
      <c r="J198" s="10" t="s">
        <v>9</v>
      </c>
      <c r="K198" s="5">
        <v>46084.0</v>
      </c>
      <c r="L198" s="11" t="s">
        <v>784</v>
      </c>
      <c r="M198" s="7" t="str">
        <f>IFERROR(__xludf.DUMMYFUNCTION("TEXT(
  IF(RIGHT(A198,2)=""mo"",
    EDATE(DATEVALUE(K198), -VALUE(REGEXEXTRACT(A198,""\d+""))),
    DATEVALUE(K198) - IF(RIGHT(A198,1)=""h"", VALUE(REGEXEXTRACT(A198,""\d+""))/24,
         IF(RIGHT(A198,1)=""d"", VALUE(REGEXEXTRACT(A198,""\d+"")),
      "&amp;"   IF(RIGHT(A198,1)=""w"", VALUE(REGEXEXTRACT(A198,""\d+""))*7,
         0)))
  )
, ""YYYY-M-D"")"),"2026-2-10")</f>
        <v>2026-2-10</v>
      </c>
    </row>
    <row r="199">
      <c r="A199" s="10" t="s">
        <v>144</v>
      </c>
      <c r="B199" s="10" t="s">
        <v>124</v>
      </c>
      <c r="C199" s="10" t="s">
        <v>15</v>
      </c>
      <c r="D199" s="10" t="s">
        <v>16</v>
      </c>
      <c r="E199" s="10" t="s">
        <v>17</v>
      </c>
      <c r="F199" s="10" t="s">
        <v>125</v>
      </c>
      <c r="G199" s="10" t="s">
        <v>126</v>
      </c>
      <c r="H199" s="10" t="s">
        <v>127</v>
      </c>
      <c r="I199" s="10" t="s">
        <v>128</v>
      </c>
      <c r="J199" s="10" t="s">
        <v>9</v>
      </c>
      <c r="K199" s="5">
        <v>46084.0</v>
      </c>
      <c r="L199" s="11" t="s">
        <v>784</v>
      </c>
      <c r="M199" s="7" t="str">
        <f>IFERROR(__xludf.DUMMYFUNCTION("TEXT(
  IF(RIGHT(A199,2)=""mo"",
    EDATE(DATEVALUE(K199), -VALUE(REGEXEXTRACT(A199,""\d+""))),
    DATEVALUE(K199) - IF(RIGHT(A199,1)=""h"", VALUE(REGEXEXTRACT(A199,""\d+""))/24,
         IF(RIGHT(A199,1)=""d"", VALUE(REGEXEXTRACT(A199,""\d+"")),
      "&amp;"   IF(RIGHT(A199,1)=""w"", VALUE(REGEXEXTRACT(A199,""\d+""))*7,
         0)))
  )
, ""YYYY-M-D"")"),"2026-2-25")</f>
        <v>2026-2-25</v>
      </c>
    </row>
    <row r="200">
      <c r="A200" s="10" t="s">
        <v>379</v>
      </c>
      <c r="B200" s="10" t="s">
        <v>507</v>
      </c>
      <c r="C200" s="10" t="s">
        <v>15</v>
      </c>
      <c r="D200" s="10" t="s">
        <v>16</v>
      </c>
      <c r="E200" s="10" t="s">
        <v>17</v>
      </c>
      <c r="F200" s="10" t="s">
        <v>508</v>
      </c>
      <c r="G200" s="10" t="s">
        <v>509</v>
      </c>
      <c r="H200" s="10" t="s">
        <v>510</v>
      </c>
      <c r="I200" s="10" t="s">
        <v>511</v>
      </c>
      <c r="J200" s="10" t="s">
        <v>9</v>
      </c>
      <c r="K200" s="5">
        <v>46084.0</v>
      </c>
      <c r="L200" s="11" t="s">
        <v>784</v>
      </c>
      <c r="M200" s="7" t="str">
        <f>IFERROR(__xludf.DUMMYFUNCTION("TEXT(
  IF(RIGHT(A200,2)=""mo"",
    EDATE(DATEVALUE(K200), -VALUE(REGEXEXTRACT(A200,""\d+""))),
    DATEVALUE(K200) - IF(RIGHT(A200,1)=""h"", VALUE(REGEXEXTRACT(A200,""\d+""))/24,
         IF(RIGHT(A200,1)=""d"", VALUE(REGEXEXTRACT(A200,""\d+"")),
      "&amp;"   IF(RIGHT(A200,1)=""w"", VALUE(REGEXEXTRACT(A200,""\d+""))*7,
         0)))
  )
, ""YYYY-M-D"")"),"2026-2-3")</f>
        <v>2026-2-3</v>
      </c>
    </row>
    <row r="201">
      <c r="A201" s="10" t="s">
        <v>239</v>
      </c>
      <c r="B201" s="10" t="s">
        <v>813</v>
      </c>
      <c r="C201" s="10" t="s">
        <v>15</v>
      </c>
      <c r="D201" s="10" t="s">
        <v>16</v>
      </c>
      <c r="E201" s="10" t="s">
        <v>17</v>
      </c>
      <c r="F201" s="10" t="s">
        <v>107</v>
      </c>
      <c r="G201" s="10" t="s">
        <v>108</v>
      </c>
      <c r="H201" s="10" t="s">
        <v>814</v>
      </c>
      <c r="I201" s="10" t="s">
        <v>815</v>
      </c>
      <c r="J201" s="10" t="s">
        <v>9</v>
      </c>
      <c r="K201" s="5">
        <v>46084.0</v>
      </c>
      <c r="L201" s="11" t="s">
        <v>784</v>
      </c>
      <c r="M201" s="7" t="str">
        <f>IFERROR(__xludf.DUMMYFUNCTION("TEXT(
  IF(RIGHT(A201,2)=""mo"",
    EDATE(DATEVALUE(K201), -VALUE(REGEXEXTRACT(A201,""\d+""))),
    DATEVALUE(K201) - IF(RIGHT(A201,1)=""h"", VALUE(REGEXEXTRACT(A201,""\d+""))/24,
         IF(RIGHT(A201,1)=""d"", VALUE(REGEXEXTRACT(A201,""\d+"")),
      "&amp;"   IF(RIGHT(A201,1)=""w"", VALUE(REGEXEXTRACT(A201,""\d+""))*7,
         0)))
  )
, ""YYYY-M-D"")"),"2026-2-17")</f>
        <v>2026-2-17</v>
      </c>
    </row>
    <row r="202">
      <c r="A202" s="10" t="s">
        <v>379</v>
      </c>
      <c r="B202" s="10" t="s">
        <v>512</v>
      </c>
      <c r="C202" s="10" t="s">
        <v>15</v>
      </c>
      <c r="D202" s="10" t="s">
        <v>16</v>
      </c>
      <c r="E202" s="10" t="s">
        <v>17</v>
      </c>
      <c r="F202" s="10" t="s">
        <v>513</v>
      </c>
      <c r="G202" s="10" t="s">
        <v>816</v>
      </c>
      <c r="H202" s="10" t="s">
        <v>515</v>
      </c>
      <c r="I202" s="10" t="s">
        <v>516</v>
      </c>
      <c r="J202" s="10" t="s">
        <v>9</v>
      </c>
      <c r="K202" s="5">
        <v>46084.0</v>
      </c>
      <c r="L202" s="11" t="s">
        <v>784</v>
      </c>
      <c r="M202" s="7" t="str">
        <f>IFERROR(__xludf.DUMMYFUNCTION("TEXT(
  IF(RIGHT(A202,2)=""mo"",
    EDATE(DATEVALUE(K202), -VALUE(REGEXEXTRACT(A202,""\d+""))),
    DATEVALUE(K202) - IF(RIGHT(A202,1)=""h"", VALUE(REGEXEXTRACT(A202,""\d+""))/24,
         IF(RIGHT(A202,1)=""d"", VALUE(REGEXEXTRACT(A202,""\d+"")),
      "&amp;"   IF(RIGHT(A202,1)=""w"", VALUE(REGEXEXTRACT(A202,""\d+""))*7,
         0)))
  )
, ""YYYY-M-D"")"),"2026-2-3")</f>
        <v>2026-2-3</v>
      </c>
    </row>
    <row r="203">
      <c r="A203" s="10" t="s">
        <v>123</v>
      </c>
      <c r="B203" s="10" t="s">
        <v>81</v>
      </c>
      <c r="C203" s="10" t="s">
        <v>15</v>
      </c>
      <c r="D203" s="10" t="s">
        <v>16</v>
      </c>
      <c r="E203" s="10" t="s">
        <v>17</v>
      </c>
      <c r="F203" s="10" t="s">
        <v>82</v>
      </c>
      <c r="G203" s="10" t="s">
        <v>817</v>
      </c>
      <c r="H203" s="10" t="s">
        <v>87</v>
      </c>
      <c r="I203" s="10" t="s">
        <v>88</v>
      </c>
      <c r="J203" s="10" t="s">
        <v>9</v>
      </c>
      <c r="K203" s="5">
        <v>46084.0</v>
      </c>
      <c r="L203" s="11" t="s">
        <v>784</v>
      </c>
      <c r="M203" s="7" t="str">
        <f>IFERROR(__xludf.DUMMYFUNCTION("TEXT(
  IF(RIGHT(A203,2)=""mo"",
    EDATE(DATEVALUE(K203), -VALUE(REGEXEXTRACT(A203,""\d+""))),
    DATEVALUE(K203) - IF(RIGHT(A203,1)=""h"", VALUE(REGEXEXTRACT(A203,""\d+""))/24,
         IF(RIGHT(A203,1)=""d"", VALUE(REGEXEXTRACT(A203,""\d+"")),
      "&amp;"   IF(RIGHT(A203,1)=""w"", VALUE(REGEXEXTRACT(A203,""\d+""))*7,
         0)))
  )
, ""YYYY-M-D"")"),"2026-2-26")</f>
        <v>2026-2-26</v>
      </c>
    </row>
    <row r="204">
      <c r="A204" s="10" t="s">
        <v>379</v>
      </c>
      <c r="B204" s="10" t="s">
        <v>818</v>
      </c>
      <c r="C204" s="10" t="s">
        <v>518</v>
      </c>
      <c r="D204" s="10" t="s">
        <v>16</v>
      </c>
      <c r="E204" s="10" t="s">
        <v>17</v>
      </c>
      <c r="F204" s="10" t="s">
        <v>482</v>
      </c>
      <c r="G204" s="10" t="s">
        <v>819</v>
      </c>
      <c r="H204" s="10" t="s">
        <v>820</v>
      </c>
      <c r="I204" s="10" t="s">
        <v>821</v>
      </c>
      <c r="J204" s="10" t="s">
        <v>9</v>
      </c>
      <c r="K204" s="5">
        <v>46084.0</v>
      </c>
      <c r="L204" s="11" t="s">
        <v>784</v>
      </c>
      <c r="M204" s="7" t="str">
        <f>IFERROR(__xludf.DUMMYFUNCTION("TEXT(
  IF(RIGHT(A204,2)=""mo"",
    EDATE(DATEVALUE(K204), -VALUE(REGEXEXTRACT(A204,""\d+""))),
    DATEVALUE(K204) - IF(RIGHT(A204,1)=""h"", VALUE(REGEXEXTRACT(A204,""\d+""))/24,
         IF(RIGHT(A204,1)=""d"", VALUE(REGEXEXTRACT(A204,""\d+"")),
      "&amp;"   IF(RIGHT(A204,1)=""w"", VALUE(REGEXEXTRACT(A204,""\d+""))*7,
         0)))
  )
, ""YYYY-M-D"")"),"2026-2-3")</f>
        <v>2026-2-3</v>
      </c>
    </row>
    <row r="205">
      <c r="A205" s="10" t="s">
        <v>581</v>
      </c>
      <c r="B205" s="10" t="s">
        <v>822</v>
      </c>
      <c r="C205" s="10" t="s">
        <v>15</v>
      </c>
      <c r="D205" s="10" t="s">
        <v>44</v>
      </c>
      <c r="E205" s="10" t="s">
        <v>17</v>
      </c>
      <c r="F205" s="10" t="s">
        <v>45</v>
      </c>
      <c r="G205" s="10" t="s">
        <v>823</v>
      </c>
      <c r="H205" s="10" t="s">
        <v>824</v>
      </c>
      <c r="I205" s="10" t="s">
        <v>825</v>
      </c>
      <c r="J205" s="10" t="s">
        <v>9</v>
      </c>
      <c r="K205" s="5">
        <v>46084.0</v>
      </c>
      <c r="L205" s="11" t="s">
        <v>784</v>
      </c>
      <c r="M205" s="7" t="str">
        <f>IFERROR(__xludf.DUMMYFUNCTION("TEXT(
  IF(RIGHT(A205,2)=""mo"",
    EDATE(DATEVALUE(K205), -VALUE(REGEXEXTRACT(A205,""\d+""))),
    DATEVALUE(K205) - IF(RIGHT(A205,1)=""h"", VALUE(REGEXEXTRACT(A205,""\d+""))/24,
         IF(RIGHT(A205,1)=""d"", VALUE(REGEXEXTRACT(A205,""\d+"")),
      "&amp;"   IF(RIGHT(A205,1)=""w"", VALUE(REGEXEXTRACT(A205,""\d+""))*7,
         0)))
  )
, ""YYYY-M-D"")"),"2026-1-3")</f>
        <v>2026-1-3</v>
      </c>
    </row>
    <row r="206">
      <c r="A206" s="10" t="s">
        <v>173</v>
      </c>
      <c r="B206" s="10" t="s">
        <v>826</v>
      </c>
      <c r="C206" s="10" t="s">
        <v>827</v>
      </c>
      <c r="D206" s="10" t="s">
        <v>37</v>
      </c>
      <c r="E206" s="10" t="s">
        <v>17</v>
      </c>
      <c r="F206" s="10" t="s">
        <v>38</v>
      </c>
      <c r="G206" s="10" t="s">
        <v>39</v>
      </c>
      <c r="H206" s="10" t="s">
        <v>828</v>
      </c>
      <c r="I206" s="10" t="s">
        <v>829</v>
      </c>
      <c r="J206" s="10" t="s">
        <v>9</v>
      </c>
      <c r="K206" s="5">
        <v>46084.0</v>
      </c>
      <c r="L206" s="11" t="s">
        <v>784</v>
      </c>
      <c r="M206" s="7" t="str">
        <f>IFERROR(__xludf.DUMMYFUNCTION("TEXT(
  IF(RIGHT(A206,2)=""mo"",
    EDATE(DATEVALUE(K206), -VALUE(REGEXEXTRACT(A206,""\d+""))),
    DATEVALUE(K206) - IF(RIGHT(A206,1)=""h"", VALUE(REGEXEXTRACT(A206,""\d+""))/24,
         IF(RIGHT(A206,1)=""d"", VALUE(REGEXEXTRACT(A206,""\d+"")),
      "&amp;"   IF(RIGHT(A206,1)=""w"", VALUE(REGEXEXTRACT(A206,""\d+""))*7,
         0)))
  )
, ""YYYY-M-D"")"),"2026-2-24")</f>
        <v>2026-2-24</v>
      </c>
    </row>
    <row r="207">
      <c r="A207" s="10" t="s">
        <v>785</v>
      </c>
      <c r="B207" s="10" t="s">
        <v>830</v>
      </c>
      <c r="C207" s="10" t="s">
        <v>831</v>
      </c>
      <c r="D207" s="10" t="s">
        <v>37</v>
      </c>
      <c r="E207" s="10" t="s">
        <v>17</v>
      </c>
      <c r="F207" s="10" t="s">
        <v>832</v>
      </c>
      <c r="G207" s="10" t="s">
        <v>833</v>
      </c>
      <c r="H207" s="10" t="s">
        <v>834</v>
      </c>
      <c r="I207" s="10" t="s">
        <v>835</v>
      </c>
      <c r="J207" s="10" t="s">
        <v>9</v>
      </c>
      <c r="K207" s="5">
        <v>46084.0</v>
      </c>
      <c r="L207" s="11" t="s">
        <v>784</v>
      </c>
      <c r="M207" s="7" t="str">
        <f>IFERROR(__xludf.DUMMYFUNCTION("TEXT(
  IF(RIGHT(A207,2)=""mo"",
    EDATE(DATEVALUE(K207), -VALUE(REGEXEXTRACT(A207,""\d+""))),
    DATEVALUE(K207) - IF(RIGHT(A207,1)=""h"", VALUE(REGEXEXTRACT(A207,""\d+""))/24,
         IF(RIGHT(A207,1)=""d"", VALUE(REGEXEXTRACT(A207,""\d+"")),
      "&amp;"   IF(RIGHT(A207,1)=""w"", VALUE(REGEXEXTRACT(A207,""\d+""))*7,
         0)))
  )
, ""YYYY-M-D"")"),"2026-3-2")</f>
        <v>2026-3-2</v>
      </c>
    </row>
    <row r="208">
      <c r="A208" s="10" t="s">
        <v>173</v>
      </c>
      <c r="B208" s="10" t="s">
        <v>213</v>
      </c>
      <c r="C208" s="10" t="s">
        <v>15</v>
      </c>
      <c r="D208" s="10" t="s">
        <v>16</v>
      </c>
      <c r="E208" s="10" t="s">
        <v>61</v>
      </c>
      <c r="F208" s="10" t="s">
        <v>214</v>
      </c>
      <c r="G208" s="10" t="s">
        <v>836</v>
      </c>
      <c r="H208" s="10" t="s">
        <v>216</v>
      </c>
      <c r="I208" s="10" t="s">
        <v>217</v>
      </c>
      <c r="J208" s="10" t="s">
        <v>9</v>
      </c>
      <c r="K208" s="5">
        <v>46084.0</v>
      </c>
      <c r="L208" s="11" t="s">
        <v>784</v>
      </c>
      <c r="M208" s="7" t="str">
        <f>IFERROR(__xludf.DUMMYFUNCTION("TEXT(
  IF(RIGHT(A208,2)=""mo"",
    EDATE(DATEVALUE(K208), -VALUE(REGEXEXTRACT(A208,""\d+""))),
    DATEVALUE(K208) - IF(RIGHT(A208,1)=""h"", VALUE(REGEXEXTRACT(A208,""\d+""))/24,
         IF(RIGHT(A208,1)=""d"", VALUE(REGEXEXTRACT(A208,""\d+"")),
      "&amp;"   IF(RIGHT(A208,1)=""w"", VALUE(REGEXEXTRACT(A208,""\d+""))*7,
         0)))
  )
, ""YYYY-M-D"")"),"2026-2-24")</f>
        <v>2026-2-24</v>
      </c>
    </row>
    <row r="209">
      <c r="A209" s="10" t="s">
        <v>173</v>
      </c>
      <c r="B209" s="10" t="s">
        <v>179</v>
      </c>
      <c r="C209" s="10" t="s">
        <v>15</v>
      </c>
      <c r="D209" s="10" t="s">
        <v>37</v>
      </c>
      <c r="E209" s="10" t="s">
        <v>180</v>
      </c>
      <c r="F209" s="10" t="s">
        <v>181</v>
      </c>
      <c r="G209" s="10" t="s">
        <v>837</v>
      </c>
      <c r="H209" s="10" t="s">
        <v>183</v>
      </c>
      <c r="I209" s="10" t="s">
        <v>184</v>
      </c>
      <c r="J209" s="10" t="s">
        <v>9</v>
      </c>
      <c r="K209" s="5">
        <v>46084.0</v>
      </c>
      <c r="L209" s="11" t="s">
        <v>784</v>
      </c>
      <c r="M209" s="7" t="str">
        <f>IFERROR(__xludf.DUMMYFUNCTION("TEXT(
  IF(RIGHT(A209,2)=""mo"",
    EDATE(DATEVALUE(K209), -VALUE(REGEXEXTRACT(A209,""\d+""))),
    DATEVALUE(K209) - IF(RIGHT(A209,1)=""h"", VALUE(REGEXEXTRACT(A209,""\d+""))/24,
         IF(RIGHT(A209,1)=""d"", VALUE(REGEXEXTRACT(A209,""\d+"")),
      "&amp;"   IF(RIGHT(A209,1)=""w"", VALUE(REGEXEXTRACT(A209,""\d+""))*7,
         0)))
  )
, ""YYYY-M-D"")"),"2026-2-24")</f>
        <v>2026-2-24</v>
      </c>
    </row>
    <row r="210">
      <c r="A210" s="10" t="s">
        <v>581</v>
      </c>
      <c r="B210" s="10" t="s">
        <v>838</v>
      </c>
      <c r="C210" s="10" t="s">
        <v>15</v>
      </c>
      <c r="D210" s="10" t="s">
        <v>16</v>
      </c>
      <c r="E210" s="10" t="s">
        <v>421</v>
      </c>
      <c r="F210" s="10" t="s">
        <v>839</v>
      </c>
      <c r="G210" s="10" t="s">
        <v>840</v>
      </c>
      <c r="H210" s="10" t="s">
        <v>841</v>
      </c>
      <c r="I210" s="10" t="s">
        <v>842</v>
      </c>
      <c r="J210" s="10" t="s">
        <v>9</v>
      </c>
      <c r="K210" s="5">
        <v>46084.0</v>
      </c>
      <c r="L210" s="11" t="s">
        <v>784</v>
      </c>
      <c r="M210" s="7" t="str">
        <f>IFERROR(__xludf.DUMMYFUNCTION("TEXT(
  IF(RIGHT(A210,2)=""mo"",
    EDATE(DATEVALUE(K210), -VALUE(REGEXEXTRACT(A210,""\d+""))),
    DATEVALUE(K210) - IF(RIGHT(A210,1)=""h"", VALUE(REGEXEXTRACT(A210,""\d+""))/24,
         IF(RIGHT(A210,1)=""d"", VALUE(REGEXEXTRACT(A210,""\d+"")),
      "&amp;"   IF(RIGHT(A210,1)=""w"", VALUE(REGEXEXTRACT(A210,""\d+""))*7,
         0)))
  )
, ""YYYY-M-D"")"),"2026-1-3")</f>
        <v>2026-1-3</v>
      </c>
    </row>
    <row r="211">
      <c r="A211" s="10" t="s">
        <v>581</v>
      </c>
      <c r="B211" s="10" t="s">
        <v>623</v>
      </c>
      <c r="C211" s="10" t="s">
        <v>843</v>
      </c>
      <c r="D211" s="10" t="s">
        <v>16</v>
      </c>
      <c r="E211" s="10" t="s">
        <v>17</v>
      </c>
      <c r="F211" s="10" t="s">
        <v>625</v>
      </c>
      <c r="G211" s="10" t="s">
        <v>844</v>
      </c>
      <c r="H211" s="10" t="s">
        <v>845</v>
      </c>
      <c r="I211" s="10" t="s">
        <v>846</v>
      </c>
      <c r="J211" s="10" t="s">
        <v>9</v>
      </c>
      <c r="K211" s="5">
        <v>46084.0</v>
      </c>
      <c r="L211" s="11" t="s">
        <v>784</v>
      </c>
      <c r="M211" s="7" t="str">
        <f>IFERROR(__xludf.DUMMYFUNCTION("TEXT(
  IF(RIGHT(A211,2)=""mo"",
    EDATE(DATEVALUE(K211), -VALUE(REGEXEXTRACT(A211,""\d+""))),
    DATEVALUE(K211) - IF(RIGHT(A211,1)=""h"", VALUE(REGEXEXTRACT(A211,""\d+""))/24,
         IF(RIGHT(A211,1)=""d"", VALUE(REGEXEXTRACT(A211,""\d+"")),
      "&amp;"   IF(RIGHT(A211,1)=""w"", VALUE(REGEXEXTRACT(A211,""\d+""))*7,
         0)))
  )
, ""YYYY-M-D"")"),"2026-1-3")</f>
        <v>2026-1-3</v>
      </c>
    </row>
    <row r="212">
      <c r="A212" s="10" t="s">
        <v>379</v>
      </c>
      <c r="B212" s="10" t="s">
        <v>389</v>
      </c>
      <c r="C212" s="10" t="s">
        <v>168</v>
      </c>
      <c r="D212" s="10" t="s">
        <v>16</v>
      </c>
      <c r="E212" s="10" t="s">
        <v>17</v>
      </c>
      <c r="F212" s="10" t="s">
        <v>390</v>
      </c>
      <c r="G212" s="10" t="s">
        <v>391</v>
      </c>
      <c r="H212" s="10" t="s">
        <v>392</v>
      </c>
      <c r="I212" s="10" t="s">
        <v>393</v>
      </c>
      <c r="J212" s="10" t="s">
        <v>9</v>
      </c>
      <c r="K212" s="5">
        <v>46084.0</v>
      </c>
      <c r="L212" s="11" t="s">
        <v>784</v>
      </c>
      <c r="M212" s="7" t="str">
        <f>IFERROR(__xludf.DUMMYFUNCTION("TEXT(
  IF(RIGHT(A212,2)=""mo"",
    EDATE(DATEVALUE(K212), -VALUE(REGEXEXTRACT(A212,""\d+""))),
    DATEVALUE(K212) - IF(RIGHT(A212,1)=""h"", VALUE(REGEXEXTRACT(A212,""\d+""))/24,
         IF(RIGHT(A212,1)=""d"", VALUE(REGEXEXTRACT(A212,""\d+"")),
      "&amp;"   IF(RIGHT(A212,1)=""w"", VALUE(REGEXEXTRACT(A212,""\d+""))*7,
         0)))
  )
, ""YYYY-M-D"")"),"2026-2-3")</f>
        <v>2026-2-3</v>
      </c>
    </row>
    <row r="213">
      <c r="A213" s="10" t="s">
        <v>581</v>
      </c>
      <c r="B213" s="10" t="s">
        <v>847</v>
      </c>
      <c r="C213" s="10" t="s">
        <v>234</v>
      </c>
      <c r="D213" s="10" t="s">
        <v>16</v>
      </c>
      <c r="E213" s="10" t="s">
        <v>17</v>
      </c>
      <c r="F213" s="10" t="s">
        <v>235</v>
      </c>
      <c r="G213" s="10" t="s">
        <v>236</v>
      </c>
      <c r="H213" s="10" t="s">
        <v>848</v>
      </c>
      <c r="I213" s="10" t="s">
        <v>849</v>
      </c>
      <c r="J213" s="10" t="s">
        <v>9</v>
      </c>
      <c r="K213" s="5">
        <v>46084.0</v>
      </c>
      <c r="L213" s="11" t="s">
        <v>784</v>
      </c>
      <c r="M213" s="7" t="str">
        <f>IFERROR(__xludf.DUMMYFUNCTION("TEXT(
  IF(RIGHT(A213,2)=""mo"",
    EDATE(DATEVALUE(K213), -VALUE(REGEXEXTRACT(A213,""\d+""))),
    DATEVALUE(K213) - IF(RIGHT(A213,1)=""h"", VALUE(REGEXEXTRACT(A213,""\d+""))/24,
         IF(RIGHT(A213,1)=""d"", VALUE(REGEXEXTRACT(A213,""\d+"")),
      "&amp;"   IF(RIGHT(A213,1)=""w"", VALUE(REGEXEXTRACT(A213,""\d+""))*7,
         0)))
  )
, ""YYYY-M-D"")"),"2026-1-3")</f>
        <v>2026-1-3</v>
      </c>
    </row>
    <row r="214">
      <c r="A214" s="10" t="s">
        <v>59</v>
      </c>
      <c r="B214" s="10" t="s">
        <v>54</v>
      </c>
      <c r="C214" s="10" t="s">
        <v>15</v>
      </c>
      <c r="D214" s="10" t="s">
        <v>44</v>
      </c>
      <c r="E214" s="10" t="s">
        <v>17</v>
      </c>
      <c r="F214" s="10" t="s">
        <v>55</v>
      </c>
      <c r="G214" s="10" t="s">
        <v>56</v>
      </c>
      <c r="H214" s="10" t="s">
        <v>57</v>
      </c>
      <c r="I214" s="10" t="s">
        <v>58</v>
      </c>
      <c r="J214" s="10" t="s">
        <v>9</v>
      </c>
      <c r="K214" s="5">
        <v>46084.0</v>
      </c>
      <c r="L214" s="11" t="s">
        <v>784</v>
      </c>
      <c r="M214" s="7" t="str">
        <f>IFERROR(__xludf.DUMMYFUNCTION("TEXT(
  IF(RIGHT(A214,2)=""mo"",
    EDATE(DATEVALUE(K214), -VALUE(REGEXEXTRACT(A214,""\d+""))),
    DATEVALUE(K214) - IF(RIGHT(A214,1)=""h"", VALUE(REGEXEXTRACT(A214,""\d+""))/24,
         IF(RIGHT(A214,1)=""d"", VALUE(REGEXEXTRACT(A214,""\d+"")),
      "&amp;"   IF(RIGHT(A214,1)=""w"", VALUE(REGEXEXTRACT(A214,""\d+""))*7,
         0)))
  )
, ""YYYY-M-D"")"),"2026-2-27")</f>
        <v>2026-2-27</v>
      </c>
    </row>
    <row r="215">
      <c r="A215" s="10" t="s">
        <v>239</v>
      </c>
      <c r="B215" s="10" t="s">
        <v>267</v>
      </c>
      <c r="C215" s="10" t="s">
        <v>268</v>
      </c>
      <c r="D215" s="10" t="s">
        <v>37</v>
      </c>
      <c r="E215" s="10" t="s">
        <v>17</v>
      </c>
      <c r="F215" s="10" t="s">
        <v>269</v>
      </c>
      <c r="G215" s="10" t="s">
        <v>850</v>
      </c>
      <c r="H215" s="10" t="s">
        <v>271</v>
      </c>
      <c r="I215" s="10" t="s">
        <v>272</v>
      </c>
      <c r="J215" s="10" t="s">
        <v>9</v>
      </c>
      <c r="K215" s="5">
        <v>46084.0</v>
      </c>
      <c r="L215" s="11" t="s">
        <v>784</v>
      </c>
      <c r="M215" s="7" t="str">
        <f>IFERROR(__xludf.DUMMYFUNCTION("TEXT(
  IF(RIGHT(A215,2)=""mo"",
    EDATE(DATEVALUE(K215), -VALUE(REGEXEXTRACT(A215,""\d+""))),
    DATEVALUE(K215) - IF(RIGHT(A215,1)=""h"", VALUE(REGEXEXTRACT(A215,""\d+""))/24,
         IF(RIGHT(A215,1)=""d"", VALUE(REGEXEXTRACT(A215,""\d+"")),
      "&amp;"   IF(RIGHT(A215,1)=""w"", VALUE(REGEXEXTRACT(A215,""\d+""))*7,
         0)))
  )
, ""YYYY-M-D"")"),"2026-2-17")</f>
        <v>2026-2-17</v>
      </c>
    </row>
    <row r="216">
      <c r="A216" s="10" t="s">
        <v>379</v>
      </c>
      <c r="B216" s="10" t="s">
        <v>851</v>
      </c>
      <c r="C216" s="10" t="s">
        <v>15</v>
      </c>
      <c r="D216" s="10" t="s">
        <v>44</v>
      </c>
      <c r="E216" s="10" t="s">
        <v>17</v>
      </c>
      <c r="F216" s="10" t="s">
        <v>175</v>
      </c>
      <c r="G216" s="10" t="s">
        <v>176</v>
      </c>
      <c r="H216" s="10" t="s">
        <v>852</v>
      </c>
      <c r="I216" s="10" t="s">
        <v>853</v>
      </c>
      <c r="J216" s="10" t="s">
        <v>9</v>
      </c>
      <c r="K216" s="5">
        <v>46084.0</v>
      </c>
      <c r="L216" s="11" t="s">
        <v>784</v>
      </c>
      <c r="M216" s="7" t="str">
        <f>IFERROR(__xludf.DUMMYFUNCTION("TEXT(
  IF(RIGHT(A216,2)=""mo"",
    EDATE(DATEVALUE(K216), -VALUE(REGEXEXTRACT(A216,""\d+""))),
    DATEVALUE(K216) - IF(RIGHT(A216,1)=""h"", VALUE(REGEXEXTRACT(A216,""\d+""))/24,
         IF(RIGHT(A216,1)=""d"", VALUE(REGEXEXTRACT(A216,""\d+"")),
      "&amp;"   IF(RIGHT(A216,1)=""w"", VALUE(REGEXEXTRACT(A216,""\d+""))*7,
         0)))
  )
, ""YYYY-M-D"")"),"2026-2-3")</f>
        <v>2026-2-3</v>
      </c>
    </row>
    <row r="217">
      <c r="A217" s="10" t="s">
        <v>581</v>
      </c>
      <c r="B217" s="10" t="s">
        <v>646</v>
      </c>
      <c r="C217" s="10" t="s">
        <v>15</v>
      </c>
      <c r="D217" s="10" t="s">
        <v>37</v>
      </c>
      <c r="E217" s="10" t="s">
        <v>17</v>
      </c>
      <c r="F217" s="10" t="s">
        <v>647</v>
      </c>
      <c r="G217" s="10" t="s">
        <v>648</v>
      </c>
      <c r="H217" s="10" t="s">
        <v>649</v>
      </c>
      <c r="I217" s="10" t="s">
        <v>650</v>
      </c>
      <c r="J217" s="10" t="s">
        <v>9</v>
      </c>
      <c r="K217" s="5">
        <v>46084.0</v>
      </c>
      <c r="L217" s="11" t="s">
        <v>784</v>
      </c>
      <c r="M217" s="7" t="str">
        <f>IFERROR(__xludf.DUMMYFUNCTION("TEXT(
  IF(RIGHT(A217,2)=""mo"",
    EDATE(DATEVALUE(K217), -VALUE(REGEXEXTRACT(A217,""\d+""))),
    DATEVALUE(K217) - IF(RIGHT(A217,1)=""h"", VALUE(REGEXEXTRACT(A217,""\d+""))/24,
         IF(RIGHT(A217,1)=""d"", VALUE(REGEXEXTRACT(A217,""\d+"")),
      "&amp;"   IF(RIGHT(A217,1)=""w"", VALUE(REGEXEXTRACT(A217,""\d+""))*7,
         0)))
  )
, ""YYYY-M-D"")"),"2026-1-3")</f>
        <v>2026-1-3</v>
      </c>
    </row>
    <row r="218">
      <c r="A218" s="10" t="s">
        <v>379</v>
      </c>
      <c r="B218" s="10" t="s">
        <v>551</v>
      </c>
      <c r="C218" s="10" t="s">
        <v>552</v>
      </c>
      <c r="D218" s="10" t="s">
        <v>16</v>
      </c>
      <c r="E218" s="10" t="s">
        <v>17</v>
      </c>
      <c r="F218" s="10" t="s">
        <v>553</v>
      </c>
      <c r="G218" s="10" t="s">
        <v>554</v>
      </c>
      <c r="H218" s="10" t="s">
        <v>555</v>
      </c>
      <c r="I218" s="10" t="s">
        <v>556</v>
      </c>
      <c r="J218" s="10" t="s">
        <v>9</v>
      </c>
      <c r="K218" s="5">
        <v>46084.0</v>
      </c>
      <c r="L218" s="11" t="s">
        <v>784</v>
      </c>
      <c r="M218" s="7" t="str">
        <f>IFERROR(__xludf.DUMMYFUNCTION("TEXT(
  IF(RIGHT(A218,2)=""mo"",
    EDATE(DATEVALUE(K218), -VALUE(REGEXEXTRACT(A218,""\d+""))),
    DATEVALUE(K218) - IF(RIGHT(A218,1)=""h"", VALUE(REGEXEXTRACT(A218,""\d+""))/24,
         IF(RIGHT(A218,1)=""d"", VALUE(REGEXEXTRACT(A218,""\d+"")),
      "&amp;"   IF(RIGHT(A218,1)=""w"", VALUE(REGEXEXTRACT(A218,""\d+""))*7,
         0)))
  )
, ""YYYY-M-D"")"),"2026-2-3")</f>
        <v>2026-2-3</v>
      </c>
    </row>
    <row r="219">
      <c r="A219" s="10" t="s">
        <v>742</v>
      </c>
      <c r="B219" s="10" t="s">
        <v>854</v>
      </c>
      <c r="C219" s="10" t="s">
        <v>15</v>
      </c>
      <c r="D219" s="10" t="s">
        <v>16</v>
      </c>
      <c r="E219" s="10" t="s">
        <v>17</v>
      </c>
      <c r="F219" s="10" t="s">
        <v>18</v>
      </c>
      <c r="G219" s="10" t="s">
        <v>19</v>
      </c>
      <c r="H219" s="10" t="s">
        <v>855</v>
      </c>
      <c r="I219" s="10" t="s">
        <v>856</v>
      </c>
      <c r="J219" s="10" t="s">
        <v>9</v>
      </c>
      <c r="K219" s="5">
        <v>46084.0</v>
      </c>
      <c r="L219" s="11" t="s">
        <v>784</v>
      </c>
      <c r="M219" s="7" t="str">
        <f>IFERROR(__xludf.DUMMYFUNCTION("TEXT(
  IF(RIGHT(A219,2)=""mo"",
    EDATE(DATEVALUE(K219), -VALUE(REGEXEXTRACT(A219,""\d+""))),
    DATEVALUE(K219) - IF(RIGHT(A219,1)=""h"", VALUE(REGEXEXTRACT(A219,""\d+""))/24,
         IF(RIGHT(A219,1)=""d"", VALUE(REGEXEXTRACT(A219,""\d+"")),
      "&amp;"   IF(RIGHT(A219,1)=""w"", VALUE(REGEXEXTRACT(A219,""\d+""))*7,
         0)))
  )
, ""YYYY-M-D"")"),"2026-3-2")</f>
        <v>2026-3-2</v>
      </c>
    </row>
    <row r="220">
      <c r="A220" s="10" t="s">
        <v>239</v>
      </c>
      <c r="B220" s="10" t="s">
        <v>300</v>
      </c>
      <c r="C220" s="10" t="s">
        <v>15</v>
      </c>
      <c r="D220" s="10" t="s">
        <v>16</v>
      </c>
      <c r="E220" s="10" t="s">
        <v>17</v>
      </c>
      <c r="F220" s="10" t="s">
        <v>301</v>
      </c>
      <c r="G220" s="10" t="s">
        <v>302</v>
      </c>
      <c r="H220" s="10" t="s">
        <v>303</v>
      </c>
      <c r="I220" s="10" t="s">
        <v>304</v>
      </c>
      <c r="J220" s="10" t="s">
        <v>9</v>
      </c>
      <c r="K220" s="5">
        <v>46084.0</v>
      </c>
      <c r="L220" s="11" t="s">
        <v>784</v>
      </c>
      <c r="M220" s="7" t="str">
        <f>IFERROR(__xludf.DUMMYFUNCTION("TEXT(
  IF(RIGHT(A220,2)=""mo"",
    EDATE(DATEVALUE(K220), -VALUE(REGEXEXTRACT(A220,""\d+""))),
    DATEVALUE(K220) - IF(RIGHT(A220,1)=""h"", VALUE(REGEXEXTRACT(A220,""\d+""))/24,
         IF(RIGHT(A220,1)=""d"", VALUE(REGEXEXTRACT(A220,""\d+"")),
      "&amp;"   IF(RIGHT(A220,1)=""w"", VALUE(REGEXEXTRACT(A220,""\d+""))*7,
         0)))
  )
, ""YYYY-M-D"")"),"2026-2-17")</f>
        <v>2026-2-17</v>
      </c>
    </row>
    <row r="221">
      <c r="A221" s="10" t="s">
        <v>173</v>
      </c>
      <c r="B221" s="10" t="s">
        <v>223</v>
      </c>
      <c r="C221" s="10" t="s">
        <v>15</v>
      </c>
      <c r="D221" s="10" t="s">
        <v>44</v>
      </c>
      <c r="E221" s="10" t="s">
        <v>17</v>
      </c>
      <c r="F221" s="10" t="s">
        <v>224</v>
      </c>
      <c r="G221" s="10" t="s">
        <v>225</v>
      </c>
      <c r="H221" s="10" t="s">
        <v>226</v>
      </c>
      <c r="I221" s="10" t="s">
        <v>227</v>
      </c>
      <c r="J221" s="10" t="s">
        <v>9</v>
      </c>
      <c r="K221" s="5">
        <v>46084.0</v>
      </c>
      <c r="L221" s="11" t="s">
        <v>784</v>
      </c>
      <c r="M221" s="7" t="str">
        <f>IFERROR(__xludf.DUMMYFUNCTION("TEXT(
  IF(RIGHT(A221,2)=""mo"",
    EDATE(DATEVALUE(K221), -VALUE(REGEXEXTRACT(A221,""\d+""))),
    DATEVALUE(K221) - IF(RIGHT(A221,1)=""h"", VALUE(REGEXEXTRACT(A221,""\d+""))/24,
         IF(RIGHT(A221,1)=""d"", VALUE(REGEXEXTRACT(A221,""\d+"")),
      "&amp;"   IF(RIGHT(A221,1)=""w"", VALUE(REGEXEXTRACT(A221,""\d+""))*7,
         0)))
  )
, ""YYYY-M-D"")"),"2026-2-24")</f>
        <v>2026-2-24</v>
      </c>
    </row>
    <row r="222">
      <c r="A222" s="10" t="s">
        <v>581</v>
      </c>
      <c r="B222" s="10" t="s">
        <v>857</v>
      </c>
      <c r="C222" s="10" t="s">
        <v>15</v>
      </c>
      <c r="D222" s="10" t="s">
        <v>44</v>
      </c>
      <c r="E222" s="10" t="s">
        <v>17</v>
      </c>
      <c r="F222" s="10" t="s">
        <v>362</v>
      </c>
      <c r="G222" s="10" t="s">
        <v>363</v>
      </c>
      <c r="H222" s="10" t="s">
        <v>858</v>
      </c>
      <c r="I222" s="10" t="s">
        <v>859</v>
      </c>
      <c r="J222" s="10" t="s">
        <v>9</v>
      </c>
      <c r="K222" s="5">
        <v>46084.0</v>
      </c>
      <c r="L222" s="11" t="s">
        <v>784</v>
      </c>
      <c r="M222" s="7" t="str">
        <f>IFERROR(__xludf.DUMMYFUNCTION("TEXT(
  IF(RIGHT(A222,2)=""mo"",
    EDATE(DATEVALUE(K222), -VALUE(REGEXEXTRACT(A222,""\d+""))),
    DATEVALUE(K222) - IF(RIGHT(A222,1)=""h"", VALUE(REGEXEXTRACT(A222,""\d+""))/24,
         IF(RIGHT(A222,1)=""d"", VALUE(REGEXEXTRACT(A222,""\d+"")),
      "&amp;"   IF(RIGHT(A222,1)=""w"", VALUE(REGEXEXTRACT(A222,""\d+""))*7,
         0)))
  )
, ""YYYY-M-D"")"),"2026-1-3")</f>
        <v>2026-1-3</v>
      </c>
    </row>
    <row r="223">
      <c r="A223" s="10" t="s">
        <v>581</v>
      </c>
      <c r="B223" s="10" t="s">
        <v>582</v>
      </c>
      <c r="C223" s="10" t="s">
        <v>15</v>
      </c>
      <c r="D223" s="10" t="s">
        <v>44</v>
      </c>
      <c r="E223" s="10" t="s">
        <v>17</v>
      </c>
      <c r="F223" s="10" t="s">
        <v>583</v>
      </c>
      <c r="G223" s="10" t="s">
        <v>584</v>
      </c>
      <c r="H223" s="10" t="s">
        <v>585</v>
      </c>
      <c r="I223" s="10" t="s">
        <v>586</v>
      </c>
      <c r="J223" s="10" t="s">
        <v>9</v>
      </c>
      <c r="K223" s="5">
        <v>46084.0</v>
      </c>
      <c r="L223" s="11" t="s">
        <v>784</v>
      </c>
      <c r="M223" s="7" t="str">
        <f>IFERROR(__xludf.DUMMYFUNCTION("TEXT(
  IF(RIGHT(A223,2)=""mo"",
    EDATE(DATEVALUE(K223), -VALUE(REGEXEXTRACT(A223,""\d+""))),
    DATEVALUE(K223) - IF(RIGHT(A223,1)=""h"", VALUE(REGEXEXTRACT(A223,""\d+""))/24,
         IF(RIGHT(A223,1)=""d"", VALUE(REGEXEXTRACT(A223,""\d+"")),
      "&amp;"   IF(RIGHT(A223,1)=""w"", VALUE(REGEXEXTRACT(A223,""\d+""))*7,
         0)))
  )
, ""YYYY-M-D"")"),"2026-1-3")</f>
        <v>2026-1-3</v>
      </c>
    </row>
    <row r="224">
      <c r="A224" s="10" t="s">
        <v>379</v>
      </c>
      <c r="B224" s="10" t="s">
        <v>860</v>
      </c>
      <c r="C224" s="10" t="s">
        <v>15</v>
      </c>
      <c r="D224" s="10" t="s">
        <v>16</v>
      </c>
      <c r="E224" s="10" t="s">
        <v>17</v>
      </c>
      <c r="F224" s="10" t="s">
        <v>31</v>
      </c>
      <c r="G224" s="10" t="s">
        <v>861</v>
      </c>
      <c r="H224" s="10" t="s">
        <v>862</v>
      </c>
      <c r="I224" s="10" t="s">
        <v>863</v>
      </c>
      <c r="J224" s="10" t="s">
        <v>9</v>
      </c>
      <c r="K224" s="5">
        <v>46084.0</v>
      </c>
      <c r="L224" s="11" t="s">
        <v>784</v>
      </c>
      <c r="M224" s="7" t="str">
        <f>IFERROR(__xludf.DUMMYFUNCTION("TEXT(
  IF(RIGHT(A224,2)=""mo"",
    EDATE(DATEVALUE(K224), -VALUE(REGEXEXTRACT(A224,""\d+""))),
    DATEVALUE(K224) - IF(RIGHT(A224,1)=""h"", VALUE(REGEXEXTRACT(A224,""\d+""))/24,
         IF(RIGHT(A224,1)=""d"", VALUE(REGEXEXTRACT(A224,""\d+"")),
      "&amp;"   IF(RIGHT(A224,1)=""w"", VALUE(REGEXEXTRACT(A224,""\d+""))*7,
         0)))
  )
, ""YYYY-M-D"")"),"2026-2-3")</f>
        <v>2026-2-3</v>
      </c>
    </row>
    <row r="225">
      <c r="A225" s="10" t="s">
        <v>379</v>
      </c>
      <c r="B225" s="10" t="s">
        <v>864</v>
      </c>
      <c r="C225" s="10" t="s">
        <v>15</v>
      </c>
      <c r="D225" s="10" t="s">
        <v>16</v>
      </c>
      <c r="E225" s="10" t="s">
        <v>17</v>
      </c>
      <c r="F225" s="10" t="s">
        <v>471</v>
      </c>
      <c r="G225" s="10" t="s">
        <v>865</v>
      </c>
      <c r="H225" s="10" t="s">
        <v>866</v>
      </c>
      <c r="I225" s="10" t="s">
        <v>867</v>
      </c>
      <c r="J225" s="10" t="s">
        <v>9</v>
      </c>
      <c r="K225" s="5">
        <v>46084.0</v>
      </c>
      <c r="L225" s="11" t="s">
        <v>784</v>
      </c>
      <c r="M225" s="7" t="str">
        <f>IFERROR(__xludf.DUMMYFUNCTION("TEXT(
  IF(RIGHT(A225,2)=""mo"",
    EDATE(DATEVALUE(K225), -VALUE(REGEXEXTRACT(A225,""\d+""))),
    DATEVALUE(K225) - IF(RIGHT(A225,1)=""h"", VALUE(REGEXEXTRACT(A225,""\d+""))/24,
         IF(RIGHT(A225,1)=""d"", VALUE(REGEXEXTRACT(A225,""\d+"")),
      "&amp;"   IF(RIGHT(A225,1)=""w"", VALUE(REGEXEXTRACT(A225,""\d+""))*7,
         0)))
  )
, ""YYYY-M-D"")"),"2026-2-3")</f>
        <v>2026-2-3</v>
      </c>
    </row>
    <row r="226">
      <c r="A226" s="10" t="s">
        <v>239</v>
      </c>
      <c r="B226" s="10" t="s">
        <v>261</v>
      </c>
      <c r="C226" s="10" t="s">
        <v>262</v>
      </c>
      <c r="D226" s="10" t="s">
        <v>37</v>
      </c>
      <c r="E226" s="10" t="s">
        <v>30</v>
      </c>
      <c r="F226" s="10" t="s">
        <v>263</v>
      </c>
      <c r="G226" s="10" t="s">
        <v>868</v>
      </c>
      <c r="H226" s="10" t="s">
        <v>265</v>
      </c>
      <c r="I226" s="10" t="s">
        <v>266</v>
      </c>
      <c r="J226" s="10" t="s">
        <v>9</v>
      </c>
      <c r="K226" s="5">
        <v>46084.0</v>
      </c>
      <c r="L226" s="11" t="s">
        <v>784</v>
      </c>
      <c r="M226" s="7" t="str">
        <f>IFERROR(__xludf.DUMMYFUNCTION("TEXT(
  IF(RIGHT(A226,2)=""mo"",
    EDATE(DATEVALUE(K226), -VALUE(REGEXEXTRACT(A226,""\d+""))),
    DATEVALUE(K226) - IF(RIGHT(A226,1)=""h"", VALUE(REGEXEXTRACT(A226,""\d+""))/24,
         IF(RIGHT(A226,1)=""d"", VALUE(REGEXEXTRACT(A226,""\d+"")),
      "&amp;"   IF(RIGHT(A226,1)=""w"", VALUE(REGEXEXTRACT(A226,""\d+""))*7,
         0)))
  )
, ""YYYY-M-D"")"),"2026-2-17")</f>
        <v>2026-2-17</v>
      </c>
    </row>
    <row r="227">
      <c r="A227" s="10" t="s">
        <v>173</v>
      </c>
      <c r="B227" s="10" t="s">
        <v>150</v>
      </c>
      <c r="C227" s="10" t="s">
        <v>151</v>
      </c>
      <c r="D227" s="10" t="s">
        <v>16</v>
      </c>
      <c r="E227" s="10" t="s">
        <v>17</v>
      </c>
      <c r="F227" s="10" t="s">
        <v>152</v>
      </c>
      <c r="G227" s="10" t="s">
        <v>153</v>
      </c>
      <c r="H227" s="10" t="s">
        <v>154</v>
      </c>
      <c r="I227" s="10" t="s">
        <v>155</v>
      </c>
      <c r="J227" s="10" t="s">
        <v>9</v>
      </c>
      <c r="K227" s="5">
        <v>46084.0</v>
      </c>
      <c r="L227" s="11" t="s">
        <v>784</v>
      </c>
      <c r="M227" s="7" t="str">
        <f>IFERROR(__xludf.DUMMYFUNCTION("TEXT(
  IF(RIGHT(A227,2)=""mo"",
    EDATE(DATEVALUE(K227), -VALUE(REGEXEXTRACT(A227,""\d+""))),
    DATEVALUE(K227) - IF(RIGHT(A227,1)=""h"", VALUE(REGEXEXTRACT(A227,""\d+""))/24,
         IF(RIGHT(A227,1)=""d"", VALUE(REGEXEXTRACT(A227,""\d+"")),
      "&amp;"   IF(RIGHT(A227,1)=""w"", VALUE(REGEXEXTRACT(A227,""\d+""))*7,
         0)))
  )
, ""YYYY-M-D"")"),"2026-2-24")</f>
        <v>2026-2-24</v>
      </c>
    </row>
    <row r="228">
      <c r="A228" s="10" t="s">
        <v>123</v>
      </c>
      <c r="B228" s="10" t="s">
        <v>95</v>
      </c>
      <c r="C228" s="10" t="s">
        <v>15</v>
      </c>
      <c r="D228" s="10" t="s">
        <v>44</v>
      </c>
      <c r="E228" s="10" t="s">
        <v>17</v>
      </c>
      <c r="F228" s="10" t="s">
        <v>96</v>
      </c>
      <c r="G228" s="10" t="s">
        <v>97</v>
      </c>
      <c r="H228" s="10" t="s">
        <v>98</v>
      </c>
      <c r="I228" s="10" t="s">
        <v>99</v>
      </c>
      <c r="J228" s="10" t="s">
        <v>9</v>
      </c>
      <c r="K228" s="5">
        <v>46084.0</v>
      </c>
      <c r="L228" s="11" t="s">
        <v>784</v>
      </c>
      <c r="M228" s="7" t="str">
        <f>IFERROR(__xludf.DUMMYFUNCTION("TEXT(
  IF(RIGHT(A228,2)=""mo"",
    EDATE(DATEVALUE(K228), -VALUE(REGEXEXTRACT(A228,""\d+""))),
    DATEVALUE(K228) - IF(RIGHT(A228,1)=""h"", VALUE(REGEXEXTRACT(A228,""\d+""))/24,
         IF(RIGHT(A228,1)=""d"", VALUE(REGEXEXTRACT(A228,""\d+"")),
      "&amp;"   IF(RIGHT(A228,1)=""w"", VALUE(REGEXEXTRACT(A228,""\d+""))*7,
         0)))
  )
, ""YYYY-M-D"")"),"2026-2-26")</f>
        <v>2026-2-26</v>
      </c>
    </row>
    <row r="229">
      <c r="A229" s="10" t="s">
        <v>581</v>
      </c>
      <c r="B229" s="10" t="s">
        <v>869</v>
      </c>
      <c r="C229" s="10" t="s">
        <v>15</v>
      </c>
      <c r="D229" s="10" t="s">
        <v>16</v>
      </c>
      <c r="E229" s="10" t="s">
        <v>870</v>
      </c>
      <c r="F229" s="10" t="s">
        <v>422</v>
      </c>
      <c r="G229" s="10" t="s">
        <v>423</v>
      </c>
      <c r="H229" s="10" t="s">
        <v>871</v>
      </c>
      <c r="I229" s="10" t="s">
        <v>872</v>
      </c>
      <c r="J229" s="10" t="s">
        <v>9</v>
      </c>
      <c r="K229" s="5">
        <v>46084.0</v>
      </c>
      <c r="L229" s="11" t="s">
        <v>784</v>
      </c>
      <c r="M229" s="7" t="str">
        <f>IFERROR(__xludf.DUMMYFUNCTION("TEXT(
  IF(RIGHT(A229,2)=""mo"",
    EDATE(DATEVALUE(K229), -VALUE(REGEXEXTRACT(A229,""\d+""))),
    DATEVALUE(K229) - IF(RIGHT(A229,1)=""h"", VALUE(REGEXEXTRACT(A229,""\d+""))/24,
         IF(RIGHT(A229,1)=""d"", VALUE(REGEXEXTRACT(A229,""\d+"")),
      "&amp;"   IF(RIGHT(A229,1)=""w"", VALUE(REGEXEXTRACT(A229,""\d+""))*7,
         0)))
  )
, ""YYYY-M-D"")"),"2026-1-3")</f>
        <v>2026-1-3</v>
      </c>
    </row>
    <row r="230">
      <c r="A230" s="10" t="s">
        <v>321</v>
      </c>
      <c r="B230" s="10" t="s">
        <v>351</v>
      </c>
      <c r="C230" s="10" t="s">
        <v>15</v>
      </c>
      <c r="D230" s="10" t="s">
        <v>16</v>
      </c>
      <c r="E230" s="10" t="s">
        <v>17</v>
      </c>
      <c r="F230" s="10" t="s">
        <v>352</v>
      </c>
      <c r="G230" s="10" t="s">
        <v>873</v>
      </c>
      <c r="H230" s="10" t="s">
        <v>354</v>
      </c>
      <c r="I230" s="10" t="s">
        <v>355</v>
      </c>
      <c r="J230" s="10" t="s">
        <v>9</v>
      </c>
      <c r="K230" s="5">
        <v>46084.0</v>
      </c>
      <c r="L230" s="11" t="s">
        <v>784</v>
      </c>
      <c r="M230" s="7" t="str">
        <f>IFERROR(__xludf.DUMMYFUNCTION("TEXT(
  IF(RIGHT(A230,2)=""mo"",
    EDATE(DATEVALUE(K230), -VALUE(REGEXEXTRACT(A230,""\d+""))),
    DATEVALUE(K230) - IF(RIGHT(A230,1)=""h"", VALUE(REGEXEXTRACT(A230,""\d+""))/24,
         IF(RIGHT(A230,1)=""d"", VALUE(REGEXEXTRACT(A230,""\d+"")),
      "&amp;"   IF(RIGHT(A230,1)=""w"", VALUE(REGEXEXTRACT(A230,""\d+""))*7,
         0)))
  )
, ""YYYY-M-D"")"),"2026-2-10")</f>
        <v>2026-2-10</v>
      </c>
    </row>
    <row r="231">
      <c r="A231" s="10" t="s">
        <v>173</v>
      </c>
      <c r="B231" s="10" t="s">
        <v>161</v>
      </c>
      <c r="C231" s="10" t="s">
        <v>162</v>
      </c>
      <c r="D231" s="10" t="s">
        <v>37</v>
      </c>
      <c r="E231" s="10" t="s">
        <v>17</v>
      </c>
      <c r="F231" s="10" t="s">
        <v>163</v>
      </c>
      <c r="G231" s="10" t="s">
        <v>164</v>
      </c>
      <c r="H231" s="10" t="s">
        <v>165</v>
      </c>
      <c r="I231" s="10" t="s">
        <v>166</v>
      </c>
      <c r="J231" s="10" t="s">
        <v>9</v>
      </c>
      <c r="K231" s="5">
        <v>46084.0</v>
      </c>
      <c r="L231" s="11" t="s">
        <v>784</v>
      </c>
      <c r="M231" s="7" t="str">
        <f>IFERROR(__xludf.DUMMYFUNCTION("TEXT(
  IF(RIGHT(A231,2)=""mo"",
    EDATE(DATEVALUE(K231), -VALUE(REGEXEXTRACT(A231,""\d+""))),
    DATEVALUE(K231) - IF(RIGHT(A231,1)=""h"", VALUE(REGEXEXTRACT(A231,""\d+""))/24,
         IF(RIGHT(A231,1)=""d"", VALUE(REGEXEXTRACT(A231,""\d+"")),
      "&amp;"   IF(RIGHT(A231,1)=""w"", VALUE(REGEXEXTRACT(A231,""\d+""))*7,
         0)))
  )
, ""YYYY-M-D"")"),"2026-2-24")</f>
        <v>2026-2-24</v>
      </c>
    </row>
    <row r="232">
      <c r="A232" s="10" t="s">
        <v>379</v>
      </c>
      <c r="B232" s="10" t="s">
        <v>536</v>
      </c>
      <c r="C232" s="10" t="s">
        <v>15</v>
      </c>
      <c r="D232" s="10" t="s">
        <v>16</v>
      </c>
      <c r="E232" s="10" t="s">
        <v>17</v>
      </c>
      <c r="F232" s="10" t="s">
        <v>537</v>
      </c>
      <c r="G232" s="10" t="s">
        <v>874</v>
      </c>
      <c r="H232" s="10" t="s">
        <v>539</v>
      </c>
      <c r="I232" s="10" t="s">
        <v>540</v>
      </c>
      <c r="J232" s="10" t="s">
        <v>9</v>
      </c>
      <c r="K232" s="5">
        <v>46084.0</v>
      </c>
      <c r="L232" s="11" t="s">
        <v>784</v>
      </c>
      <c r="M232" s="7" t="str">
        <f>IFERROR(__xludf.DUMMYFUNCTION("TEXT(
  IF(RIGHT(A232,2)=""mo"",
    EDATE(DATEVALUE(K232), -VALUE(REGEXEXTRACT(A232,""\d+""))),
    DATEVALUE(K232) - IF(RIGHT(A232,1)=""h"", VALUE(REGEXEXTRACT(A232,""\d+""))/24,
         IF(RIGHT(A232,1)=""d"", VALUE(REGEXEXTRACT(A232,""\d+"")),
      "&amp;"   IF(RIGHT(A232,1)=""w"", VALUE(REGEXEXTRACT(A232,""\d+""))*7,
         0)))
  )
, ""YYYY-M-D"")"),"2026-2-3")</f>
        <v>2026-2-3</v>
      </c>
    </row>
    <row r="233">
      <c r="A233" s="10" t="s">
        <v>123</v>
      </c>
      <c r="B233" s="10" t="s">
        <v>66</v>
      </c>
      <c r="C233" s="10" t="s">
        <v>15</v>
      </c>
      <c r="D233" s="10" t="s">
        <v>44</v>
      </c>
      <c r="E233" s="10" t="s">
        <v>67</v>
      </c>
      <c r="F233" s="10" t="s">
        <v>68</v>
      </c>
      <c r="G233" s="10" t="s">
        <v>69</v>
      </c>
      <c r="H233" s="10" t="s">
        <v>70</v>
      </c>
      <c r="I233" s="10" t="s">
        <v>71</v>
      </c>
      <c r="J233" s="10" t="s">
        <v>9</v>
      </c>
      <c r="K233" s="5">
        <v>46084.0</v>
      </c>
      <c r="L233" s="11" t="s">
        <v>784</v>
      </c>
      <c r="M233" s="7" t="str">
        <f>IFERROR(__xludf.DUMMYFUNCTION("TEXT(
  IF(RIGHT(A233,2)=""mo"",
    EDATE(DATEVALUE(K233), -VALUE(REGEXEXTRACT(A233,""\d+""))),
    DATEVALUE(K233) - IF(RIGHT(A233,1)=""h"", VALUE(REGEXEXTRACT(A233,""\d+""))/24,
         IF(RIGHT(A233,1)=""d"", VALUE(REGEXEXTRACT(A233,""\d+"")),
      "&amp;"   IF(RIGHT(A233,1)=""w"", VALUE(REGEXEXTRACT(A233,""\d+""))*7,
         0)))
  )
, ""YYYY-M-D"")"),"2026-2-26")</f>
        <v>2026-2-26</v>
      </c>
    </row>
    <row r="234">
      <c r="A234" s="10" t="s">
        <v>173</v>
      </c>
      <c r="B234" s="10" t="s">
        <v>228</v>
      </c>
      <c r="C234" s="10" t="s">
        <v>15</v>
      </c>
      <c r="D234" s="10" t="s">
        <v>16</v>
      </c>
      <c r="E234" s="10" t="s">
        <v>17</v>
      </c>
      <c r="F234" s="10" t="s">
        <v>229</v>
      </c>
      <c r="G234" s="10" t="s">
        <v>230</v>
      </c>
      <c r="H234" s="10" t="s">
        <v>231</v>
      </c>
      <c r="I234" s="10" t="s">
        <v>232</v>
      </c>
      <c r="J234" s="10" t="s">
        <v>9</v>
      </c>
      <c r="K234" s="5">
        <v>46084.0</v>
      </c>
      <c r="L234" s="11" t="s">
        <v>784</v>
      </c>
      <c r="M234" s="7" t="str">
        <f>IFERROR(__xludf.DUMMYFUNCTION("TEXT(
  IF(RIGHT(A234,2)=""mo"",
    EDATE(DATEVALUE(K234), -VALUE(REGEXEXTRACT(A234,""\d+""))),
    DATEVALUE(K234) - IF(RIGHT(A234,1)=""h"", VALUE(REGEXEXTRACT(A234,""\d+""))/24,
         IF(RIGHT(A234,1)=""d"", VALUE(REGEXEXTRACT(A234,""\d+"")),
      "&amp;"   IF(RIGHT(A234,1)=""w"", VALUE(REGEXEXTRACT(A234,""\d+""))*7,
         0)))
  )
, ""YYYY-M-D"")"),"2026-2-24")</f>
        <v>2026-2-24</v>
      </c>
    </row>
    <row r="235">
      <c r="A235" s="10" t="s">
        <v>239</v>
      </c>
      <c r="B235" s="10" t="s">
        <v>273</v>
      </c>
      <c r="C235" s="10" t="s">
        <v>274</v>
      </c>
      <c r="D235" s="10" t="s">
        <v>37</v>
      </c>
      <c r="E235" s="10" t="s">
        <v>17</v>
      </c>
      <c r="F235" s="10" t="s">
        <v>275</v>
      </c>
      <c r="G235" s="10" t="s">
        <v>276</v>
      </c>
      <c r="H235" s="10" t="s">
        <v>277</v>
      </c>
      <c r="I235" s="10" t="s">
        <v>278</v>
      </c>
      <c r="J235" s="10" t="s">
        <v>9</v>
      </c>
      <c r="K235" s="5">
        <v>46084.0</v>
      </c>
      <c r="L235" s="11" t="s">
        <v>784</v>
      </c>
      <c r="M235" s="7" t="str">
        <f>IFERROR(__xludf.DUMMYFUNCTION("TEXT(
  IF(RIGHT(A235,2)=""mo"",
    EDATE(DATEVALUE(K235), -VALUE(REGEXEXTRACT(A235,""\d+""))),
    DATEVALUE(K235) - IF(RIGHT(A235,1)=""h"", VALUE(REGEXEXTRACT(A235,""\d+""))/24,
         IF(RIGHT(A235,1)=""d"", VALUE(REGEXEXTRACT(A235,""\d+"")),
      "&amp;"   IF(RIGHT(A235,1)=""w"", VALUE(REGEXEXTRACT(A235,""\d+""))*7,
         0)))
  )
, ""YYYY-M-D"")"),"2026-2-17")</f>
        <v>2026-2-17</v>
      </c>
    </row>
    <row r="236">
      <c r="A236" s="10" t="s">
        <v>173</v>
      </c>
      <c r="B236" s="10" t="s">
        <v>190</v>
      </c>
      <c r="C236" s="10" t="s">
        <v>15</v>
      </c>
      <c r="D236" s="10" t="s">
        <v>16</v>
      </c>
      <c r="E236" s="10" t="s">
        <v>17</v>
      </c>
      <c r="F236" s="10" t="s">
        <v>191</v>
      </c>
      <c r="G236" s="10" t="s">
        <v>875</v>
      </c>
      <c r="H236" s="10" t="s">
        <v>193</v>
      </c>
      <c r="I236" s="10" t="s">
        <v>194</v>
      </c>
      <c r="J236" s="10" t="s">
        <v>9</v>
      </c>
      <c r="K236" s="5">
        <v>46084.0</v>
      </c>
      <c r="L236" s="11" t="s">
        <v>784</v>
      </c>
      <c r="M236" s="7" t="str">
        <f>IFERROR(__xludf.DUMMYFUNCTION("TEXT(
  IF(RIGHT(A236,2)=""mo"",
    EDATE(DATEVALUE(K236), -VALUE(REGEXEXTRACT(A236,""\d+""))),
    DATEVALUE(K236) - IF(RIGHT(A236,1)=""h"", VALUE(REGEXEXTRACT(A236,""\d+""))/24,
         IF(RIGHT(A236,1)=""d"", VALUE(REGEXEXTRACT(A236,""\d+"")),
      "&amp;"   IF(RIGHT(A236,1)=""w"", VALUE(REGEXEXTRACT(A236,""\d+""))*7,
         0)))
  )
, ""YYYY-M-D"")"),"2026-2-24")</f>
        <v>2026-2-24</v>
      </c>
    </row>
    <row r="237">
      <c r="A237" s="10" t="s">
        <v>173</v>
      </c>
      <c r="B237" s="10" t="s">
        <v>190</v>
      </c>
      <c r="C237" s="10" t="s">
        <v>15</v>
      </c>
      <c r="D237" s="10" t="s">
        <v>16</v>
      </c>
      <c r="E237" s="10" t="s">
        <v>17</v>
      </c>
      <c r="F237" s="10" t="s">
        <v>191</v>
      </c>
      <c r="G237" s="10" t="s">
        <v>876</v>
      </c>
      <c r="H237" s="10" t="s">
        <v>196</v>
      </c>
      <c r="I237" s="10" t="s">
        <v>197</v>
      </c>
      <c r="J237" s="10" t="s">
        <v>9</v>
      </c>
      <c r="K237" s="5">
        <v>46084.0</v>
      </c>
      <c r="L237" s="11" t="s">
        <v>784</v>
      </c>
      <c r="M237" s="7" t="str">
        <f>IFERROR(__xludf.DUMMYFUNCTION("TEXT(
  IF(RIGHT(A237,2)=""mo"",
    EDATE(DATEVALUE(K237), -VALUE(REGEXEXTRACT(A237,""\d+""))),
    DATEVALUE(K237) - IF(RIGHT(A237,1)=""h"", VALUE(REGEXEXTRACT(A237,""\d+""))/24,
         IF(RIGHT(A237,1)=""d"", VALUE(REGEXEXTRACT(A237,""\d+"")),
      "&amp;"   IF(RIGHT(A237,1)=""w"", VALUE(REGEXEXTRACT(A237,""\d+""))*7,
         0)))
  )
, ""YYYY-M-D"")"),"2026-2-24")</f>
        <v>2026-2-24</v>
      </c>
    </row>
    <row r="238">
      <c r="A238" s="10" t="s">
        <v>321</v>
      </c>
      <c r="B238" s="10" t="s">
        <v>310</v>
      </c>
      <c r="C238" s="10" t="s">
        <v>15</v>
      </c>
      <c r="D238" s="10" t="s">
        <v>44</v>
      </c>
      <c r="E238" s="10" t="s">
        <v>17</v>
      </c>
      <c r="F238" s="10" t="s">
        <v>311</v>
      </c>
      <c r="G238" s="10" t="s">
        <v>312</v>
      </c>
      <c r="H238" s="10" t="s">
        <v>313</v>
      </c>
      <c r="I238" s="10" t="s">
        <v>314</v>
      </c>
      <c r="J238" s="10" t="s">
        <v>9</v>
      </c>
      <c r="K238" s="5">
        <v>46084.0</v>
      </c>
      <c r="L238" s="11" t="s">
        <v>784</v>
      </c>
      <c r="M238" s="7" t="str">
        <f>IFERROR(__xludf.DUMMYFUNCTION("TEXT(
  IF(RIGHT(A238,2)=""mo"",
    EDATE(DATEVALUE(K238), -VALUE(REGEXEXTRACT(A238,""\d+""))),
    DATEVALUE(K238) - IF(RIGHT(A238,1)=""h"", VALUE(REGEXEXTRACT(A238,""\d+""))/24,
         IF(RIGHT(A238,1)=""d"", VALUE(REGEXEXTRACT(A238,""\d+"")),
      "&amp;"   IF(RIGHT(A238,1)=""w"", VALUE(REGEXEXTRACT(A238,""\d+""))*7,
         0)))
  )
, ""YYYY-M-D"")"),"2026-2-10")</f>
        <v>2026-2-10</v>
      </c>
    </row>
    <row r="239">
      <c r="A239" s="10" t="s">
        <v>173</v>
      </c>
      <c r="B239" s="10" t="s">
        <v>877</v>
      </c>
      <c r="C239" s="10" t="s">
        <v>878</v>
      </c>
      <c r="D239" s="10" t="s">
        <v>44</v>
      </c>
      <c r="E239" s="10" t="s">
        <v>17</v>
      </c>
      <c r="F239" s="10" t="s">
        <v>91</v>
      </c>
      <c r="G239" s="10" t="s">
        <v>879</v>
      </c>
      <c r="H239" s="10" t="s">
        <v>880</v>
      </c>
      <c r="I239" s="10" t="s">
        <v>881</v>
      </c>
      <c r="J239" s="10" t="s">
        <v>9</v>
      </c>
      <c r="K239" s="5">
        <v>46084.0</v>
      </c>
      <c r="L239" s="11" t="s">
        <v>784</v>
      </c>
      <c r="M239" s="7" t="str">
        <f>IFERROR(__xludf.DUMMYFUNCTION("TEXT(
  IF(RIGHT(A239,2)=""mo"",
    EDATE(DATEVALUE(K239), -VALUE(REGEXEXTRACT(A239,""\d+""))),
    DATEVALUE(K239) - IF(RIGHT(A239,1)=""h"", VALUE(REGEXEXTRACT(A239,""\d+""))/24,
         IF(RIGHT(A239,1)=""d"", VALUE(REGEXEXTRACT(A239,""\d+"")),
      "&amp;"   IF(RIGHT(A239,1)=""w"", VALUE(REGEXEXTRACT(A239,""\d+""))*7,
         0)))
  )
, ""YYYY-M-D"")"),"2026-2-24")</f>
        <v>2026-2-24</v>
      </c>
    </row>
    <row r="240">
      <c r="A240" s="10" t="s">
        <v>581</v>
      </c>
      <c r="B240" s="10" t="s">
        <v>300</v>
      </c>
      <c r="C240" s="10" t="s">
        <v>15</v>
      </c>
      <c r="D240" s="10" t="s">
        <v>44</v>
      </c>
      <c r="E240" s="10" t="s">
        <v>17</v>
      </c>
      <c r="F240" s="10" t="s">
        <v>357</v>
      </c>
      <c r="G240" s="10" t="s">
        <v>358</v>
      </c>
      <c r="H240" s="10" t="s">
        <v>882</v>
      </c>
      <c r="I240" s="10" t="s">
        <v>883</v>
      </c>
      <c r="J240" s="10" t="s">
        <v>9</v>
      </c>
      <c r="K240" s="5">
        <v>46084.0</v>
      </c>
      <c r="L240" s="11" t="s">
        <v>784</v>
      </c>
      <c r="M240" s="7" t="str">
        <f>IFERROR(__xludf.DUMMYFUNCTION("TEXT(
  IF(RIGHT(A240,2)=""mo"",
    EDATE(DATEVALUE(K240), -VALUE(REGEXEXTRACT(A240,""\d+""))),
    DATEVALUE(K240) - IF(RIGHT(A240,1)=""h"", VALUE(REGEXEXTRACT(A240,""\d+""))/24,
         IF(RIGHT(A240,1)=""d"", VALUE(REGEXEXTRACT(A240,""\d+"")),
      "&amp;"   IF(RIGHT(A240,1)=""w"", VALUE(REGEXEXTRACT(A240,""\d+""))*7,
         0)))
  )
, ""YYYY-M-D"")"),"2026-1-3")</f>
        <v>2026-1-3</v>
      </c>
    </row>
    <row r="241">
      <c r="A241" s="10" t="s">
        <v>173</v>
      </c>
      <c r="B241" s="10" t="s">
        <v>145</v>
      </c>
      <c r="C241" s="10" t="s">
        <v>15</v>
      </c>
      <c r="D241" s="10" t="s">
        <v>44</v>
      </c>
      <c r="E241" s="10" t="s">
        <v>17</v>
      </c>
      <c r="F241" s="10" t="s">
        <v>146</v>
      </c>
      <c r="G241" s="10" t="s">
        <v>147</v>
      </c>
      <c r="H241" s="10" t="s">
        <v>148</v>
      </c>
      <c r="I241" s="10" t="s">
        <v>149</v>
      </c>
      <c r="J241" s="10" t="s">
        <v>9</v>
      </c>
      <c r="K241" s="5">
        <v>46084.0</v>
      </c>
      <c r="L241" s="11" t="s">
        <v>784</v>
      </c>
      <c r="M241" s="7" t="str">
        <f>IFERROR(__xludf.DUMMYFUNCTION("TEXT(
  IF(RIGHT(A241,2)=""mo"",
    EDATE(DATEVALUE(K241), -VALUE(REGEXEXTRACT(A241,""\d+""))),
    DATEVALUE(K241) - IF(RIGHT(A241,1)=""h"", VALUE(REGEXEXTRACT(A241,""\d+""))/24,
         IF(RIGHT(A241,1)=""d"", VALUE(REGEXEXTRACT(A241,""\d+"")),
      "&amp;"   IF(RIGHT(A241,1)=""w"", VALUE(REGEXEXTRACT(A241,""\d+""))*7,
         0)))
  )
, ""YYYY-M-D"")"),"2026-2-24")</f>
        <v>2026-2-24</v>
      </c>
    </row>
    <row r="242">
      <c r="A242" s="10" t="s">
        <v>321</v>
      </c>
      <c r="B242" s="10" t="s">
        <v>884</v>
      </c>
      <c r="C242" s="10" t="s">
        <v>15</v>
      </c>
      <c r="D242" s="10" t="s">
        <v>44</v>
      </c>
      <c r="E242" s="10" t="s">
        <v>61</v>
      </c>
      <c r="F242" s="10" t="s">
        <v>885</v>
      </c>
      <c r="G242" s="10" t="s">
        <v>886</v>
      </c>
      <c r="H242" s="10" t="s">
        <v>887</v>
      </c>
      <c r="I242" s="10" t="s">
        <v>888</v>
      </c>
      <c r="J242" s="10" t="s">
        <v>9</v>
      </c>
      <c r="K242" s="5">
        <v>46084.0</v>
      </c>
      <c r="L242" s="11" t="s">
        <v>784</v>
      </c>
      <c r="M242" s="7" t="str">
        <f>IFERROR(__xludf.DUMMYFUNCTION("TEXT(
  IF(RIGHT(A242,2)=""mo"",
    EDATE(DATEVALUE(K242), -VALUE(REGEXEXTRACT(A242,""\d+""))),
    DATEVALUE(K242) - IF(RIGHT(A242,1)=""h"", VALUE(REGEXEXTRACT(A242,""\d+""))/24,
         IF(RIGHT(A242,1)=""d"", VALUE(REGEXEXTRACT(A242,""\d+"")),
      "&amp;"   IF(RIGHT(A242,1)=""w"", VALUE(REGEXEXTRACT(A242,""\d+""))*7,
         0)))
  )
, ""YYYY-M-D"")"),"2026-2-10")</f>
        <v>2026-2-10</v>
      </c>
    </row>
    <row r="243">
      <c r="A243" s="10" t="s">
        <v>173</v>
      </c>
      <c r="B243" s="10" t="s">
        <v>889</v>
      </c>
      <c r="C243" s="10" t="s">
        <v>15</v>
      </c>
      <c r="D243" s="10" t="s">
        <v>16</v>
      </c>
      <c r="E243" s="10" t="s">
        <v>17</v>
      </c>
      <c r="F243" s="10" t="s">
        <v>890</v>
      </c>
      <c r="G243" s="10" t="s">
        <v>891</v>
      </c>
      <c r="H243" s="10" t="s">
        <v>892</v>
      </c>
      <c r="I243" s="10" t="s">
        <v>893</v>
      </c>
      <c r="J243" s="10" t="s">
        <v>9</v>
      </c>
      <c r="K243" s="5">
        <v>46084.0</v>
      </c>
      <c r="L243" s="11" t="s">
        <v>784</v>
      </c>
      <c r="M243" s="7" t="str">
        <f>IFERROR(__xludf.DUMMYFUNCTION("TEXT(
  IF(RIGHT(A243,2)=""mo"",
    EDATE(DATEVALUE(K243), -VALUE(REGEXEXTRACT(A243,""\d+""))),
    DATEVALUE(K243) - IF(RIGHT(A243,1)=""h"", VALUE(REGEXEXTRACT(A243,""\d+""))/24,
         IF(RIGHT(A243,1)=""d"", VALUE(REGEXEXTRACT(A243,""\d+"")),
      "&amp;"   IF(RIGHT(A243,1)=""w"", VALUE(REGEXEXTRACT(A243,""\d+""))*7,
         0)))
  )
, ""YYYY-M-D"")"),"2026-2-24")</f>
        <v>2026-2-24</v>
      </c>
    </row>
    <row r="244">
      <c r="A244" s="10" t="s">
        <v>370</v>
      </c>
      <c r="B244" s="10" t="s">
        <v>592</v>
      </c>
      <c r="C244" s="10" t="s">
        <v>894</v>
      </c>
      <c r="D244" s="10" t="s">
        <v>44</v>
      </c>
      <c r="E244" s="10" t="s">
        <v>17</v>
      </c>
      <c r="F244" s="10" t="s">
        <v>895</v>
      </c>
      <c r="G244" s="10" t="s">
        <v>896</v>
      </c>
      <c r="H244" s="10" t="s">
        <v>897</v>
      </c>
      <c r="I244" s="10" t="s">
        <v>898</v>
      </c>
      <c r="J244" s="10" t="s">
        <v>9</v>
      </c>
      <c r="K244" s="5">
        <v>46084.0</v>
      </c>
      <c r="L244" s="11" t="s">
        <v>784</v>
      </c>
      <c r="M244" s="7" t="str">
        <f>IFERROR(__xludf.DUMMYFUNCTION("TEXT(
  IF(RIGHT(A244,2)=""mo"",
    EDATE(DATEVALUE(K244), -VALUE(REGEXEXTRACT(A244,""\d+""))),
    DATEVALUE(K244) - IF(RIGHT(A244,1)=""h"", VALUE(REGEXEXTRACT(A244,""\d+""))/24,
         IF(RIGHT(A244,1)=""d"", VALUE(REGEXEXTRACT(A244,""\d+"")),
      "&amp;"   IF(RIGHT(A244,1)=""w"", VALUE(REGEXEXTRACT(A244,""\d+""))*7,
         0)))
  )
, ""YYYY-M-D"")"),"2026-2-3")</f>
        <v>2026-2-3</v>
      </c>
    </row>
    <row r="245">
      <c r="A245" s="10" t="s">
        <v>379</v>
      </c>
      <c r="B245" s="10" t="s">
        <v>899</v>
      </c>
      <c r="C245" s="10" t="s">
        <v>15</v>
      </c>
      <c r="D245" s="10" t="s">
        <v>16</v>
      </c>
      <c r="E245" s="10" t="s">
        <v>17</v>
      </c>
      <c r="F245" s="10" t="s">
        <v>900</v>
      </c>
      <c r="G245" s="10" t="s">
        <v>901</v>
      </c>
      <c r="H245" s="10" t="s">
        <v>902</v>
      </c>
      <c r="I245" s="10" t="s">
        <v>903</v>
      </c>
      <c r="J245" s="10" t="s">
        <v>9</v>
      </c>
      <c r="K245" s="5">
        <v>46084.0</v>
      </c>
      <c r="L245" s="11" t="s">
        <v>784</v>
      </c>
      <c r="M245" s="7" t="str">
        <f>IFERROR(__xludf.DUMMYFUNCTION("TEXT(
  IF(RIGHT(A245,2)=""mo"",
    EDATE(DATEVALUE(K245), -VALUE(REGEXEXTRACT(A245,""\d+""))),
    DATEVALUE(K245) - IF(RIGHT(A245,1)=""h"", VALUE(REGEXEXTRACT(A245,""\d+""))/24,
         IF(RIGHT(A245,1)=""d"", VALUE(REGEXEXTRACT(A245,""\d+"")),
      "&amp;"   IF(RIGHT(A245,1)=""w"", VALUE(REGEXEXTRACT(A245,""\d+""))*7,
         0)))
  )
, ""YYYY-M-D"")"),"2026-2-3")</f>
        <v>2026-2-3</v>
      </c>
    </row>
    <row r="246">
      <c r="A246" s="10" t="s">
        <v>581</v>
      </c>
      <c r="B246" s="10" t="s">
        <v>904</v>
      </c>
      <c r="C246" s="10" t="s">
        <v>15</v>
      </c>
      <c r="D246" s="10" t="s">
        <v>16</v>
      </c>
      <c r="E246" s="10" t="s">
        <v>17</v>
      </c>
      <c r="F246" s="10" t="s">
        <v>905</v>
      </c>
      <c r="G246" s="10" t="s">
        <v>906</v>
      </c>
      <c r="H246" s="10" t="s">
        <v>907</v>
      </c>
      <c r="I246" s="10" t="s">
        <v>908</v>
      </c>
      <c r="J246" s="10" t="s">
        <v>9</v>
      </c>
      <c r="K246" s="5">
        <v>46084.0</v>
      </c>
      <c r="L246" s="11" t="s">
        <v>784</v>
      </c>
      <c r="M246" s="7" t="str">
        <f>IFERROR(__xludf.DUMMYFUNCTION("TEXT(
  IF(RIGHT(A246,2)=""mo"",
    EDATE(DATEVALUE(K246), -VALUE(REGEXEXTRACT(A246,""\d+""))),
    DATEVALUE(K246) - IF(RIGHT(A246,1)=""h"", VALUE(REGEXEXTRACT(A246,""\d+""))/24,
         IF(RIGHT(A246,1)=""d"", VALUE(REGEXEXTRACT(A246,""\d+"")),
      "&amp;"   IF(RIGHT(A246,1)=""w"", VALUE(REGEXEXTRACT(A246,""\d+""))*7,
         0)))
  )
, ""YYYY-M-D"")"),"2026-1-3")</f>
        <v>2026-1-3</v>
      </c>
    </row>
    <row r="247">
      <c r="A247" s="10" t="s">
        <v>239</v>
      </c>
      <c r="B247" s="10" t="s">
        <v>284</v>
      </c>
      <c r="C247" s="10" t="s">
        <v>285</v>
      </c>
      <c r="D247" s="10" t="s">
        <v>16</v>
      </c>
      <c r="E247" s="10" t="s">
        <v>17</v>
      </c>
      <c r="F247" s="10" t="s">
        <v>286</v>
      </c>
      <c r="G247" s="10" t="s">
        <v>287</v>
      </c>
      <c r="H247" s="10" t="s">
        <v>288</v>
      </c>
      <c r="I247" s="10" t="s">
        <v>289</v>
      </c>
      <c r="J247" s="10" t="s">
        <v>9</v>
      </c>
      <c r="K247" s="5">
        <v>46084.0</v>
      </c>
      <c r="L247" s="11" t="s">
        <v>784</v>
      </c>
      <c r="M247" s="7" t="str">
        <f>IFERROR(__xludf.DUMMYFUNCTION("TEXT(
  IF(RIGHT(A247,2)=""mo"",
    EDATE(DATEVALUE(K247), -VALUE(REGEXEXTRACT(A247,""\d+""))),
    DATEVALUE(K247) - IF(RIGHT(A247,1)=""h"", VALUE(REGEXEXTRACT(A247,""\d+""))/24,
         IF(RIGHT(A247,1)=""d"", VALUE(REGEXEXTRACT(A247,""\d+"")),
      "&amp;"   IF(RIGHT(A247,1)=""w"", VALUE(REGEXEXTRACT(A247,""\d+""))*7,
         0)))
  )
, ""YYYY-M-D"")"),"2026-2-17")</f>
        <v>2026-2-17</v>
      </c>
    </row>
    <row r="248">
      <c r="A248" s="10" t="s">
        <v>173</v>
      </c>
      <c r="B248" s="10" t="s">
        <v>909</v>
      </c>
      <c r="C248" s="10" t="s">
        <v>15</v>
      </c>
      <c r="D248" s="10" t="s">
        <v>16</v>
      </c>
      <c r="E248" s="10" t="s">
        <v>17</v>
      </c>
      <c r="F248" s="10" t="s">
        <v>707</v>
      </c>
      <c r="G248" s="10" t="s">
        <v>708</v>
      </c>
      <c r="H248" s="10" t="s">
        <v>910</v>
      </c>
      <c r="I248" s="10" t="s">
        <v>911</v>
      </c>
      <c r="J248" s="10" t="s">
        <v>9</v>
      </c>
      <c r="K248" s="5">
        <v>46084.0</v>
      </c>
      <c r="L248" s="11" t="s">
        <v>784</v>
      </c>
      <c r="M248" s="7" t="str">
        <f>IFERROR(__xludf.DUMMYFUNCTION("TEXT(
  IF(RIGHT(A248,2)=""mo"",
    EDATE(DATEVALUE(K248), -VALUE(REGEXEXTRACT(A248,""\d+""))),
    DATEVALUE(K248) - IF(RIGHT(A248,1)=""h"", VALUE(REGEXEXTRACT(A248,""\d+""))/24,
         IF(RIGHT(A248,1)=""d"", VALUE(REGEXEXTRACT(A248,""\d+"")),
      "&amp;"   IF(RIGHT(A248,1)=""w"", VALUE(REGEXEXTRACT(A248,""\d+""))*7,
         0)))
  )
, ""YYYY-M-D"")"),"2026-2-24")</f>
        <v>2026-2-24</v>
      </c>
    </row>
    <row r="249">
      <c r="A249" s="10" t="s">
        <v>370</v>
      </c>
      <c r="B249" s="10" t="s">
        <v>912</v>
      </c>
      <c r="C249" s="10" t="s">
        <v>15</v>
      </c>
      <c r="D249" s="10" t="s">
        <v>16</v>
      </c>
      <c r="E249" s="10" t="s">
        <v>913</v>
      </c>
      <c r="F249" s="10" t="s">
        <v>914</v>
      </c>
      <c r="G249" s="10" t="s">
        <v>915</v>
      </c>
      <c r="H249" s="10" t="s">
        <v>916</v>
      </c>
      <c r="I249" s="10" t="s">
        <v>917</v>
      </c>
      <c r="J249" s="10" t="s">
        <v>9</v>
      </c>
      <c r="K249" s="5">
        <v>46084.0</v>
      </c>
      <c r="L249" s="11" t="s">
        <v>784</v>
      </c>
      <c r="M249" s="7" t="str">
        <f>IFERROR(__xludf.DUMMYFUNCTION("TEXT(
  IF(RIGHT(A249,2)=""mo"",
    EDATE(DATEVALUE(K249), -VALUE(REGEXEXTRACT(A249,""\d+""))),
    DATEVALUE(K249) - IF(RIGHT(A249,1)=""h"", VALUE(REGEXEXTRACT(A249,""\d+""))/24,
         IF(RIGHT(A249,1)=""d"", VALUE(REGEXEXTRACT(A249,""\d+"")),
      "&amp;"   IF(RIGHT(A249,1)=""w"", VALUE(REGEXEXTRACT(A249,""\d+""))*7,
         0)))
  )
, ""YYYY-M-D"")"),"2026-2-3")</f>
        <v>2026-2-3</v>
      </c>
    </row>
    <row r="250">
      <c r="A250" s="10" t="s">
        <v>173</v>
      </c>
      <c r="B250" s="10" t="s">
        <v>167</v>
      </c>
      <c r="C250" s="10" t="s">
        <v>168</v>
      </c>
      <c r="D250" s="10" t="s">
        <v>44</v>
      </c>
      <c r="E250" s="10" t="s">
        <v>17</v>
      </c>
      <c r="F250" s="10" t="s">
        <v>169</v>
      </c>
      <c r="G250" s="10" t="s">
        <v>170</v>
      </c>
      <c r="H250" s="10" t="s">
        <v>171</v>
      </c>
      <c r="I250" s="10" t="s">
        <v>172</v>
      </c>
      <c r="J250" s="10" t="s">
        <v>9</v>
      </c>
      <c r="K250" s="5">
        <v>46084.0</v>
      </c>
      <c r="L250" s="11" t="s">
        <v>784</v>
      </c>
      <c r="M250" s="7" t="str">
        <f>IFERROR(__xludf.DUMMYFUNCTION("TEXT(
  IF(RIGHT(A250,2)=""mo"",
    EDATE(DATEVALUE(K250), -VALUE(REGEXEXTRACT(A250,""\d+""))),
    DATEVALUE(K250) - IF(RIGHT(A250,1)=""h"", VALUE(REGEXEXTRACT(A250,""\d+""))/24,
         IF(RIGHT(A250,1)=""d"", VALUE(REGEXEXTRACT(A250,""\d+"")),
      "&amp;"   IF(RIGHT(A250,1)=""w"", VALUE(REGEXEXTRACT(A250,""\d+""))*7,
         0)))
  )
, ""YYYY-M-D"")"),"2026-2-24")</f>
        <v>2026-2-24</v>
      </c>
    </row>
    <row r="251">
      <c r="A251" s="10" t="s">
        <v>239</v>
      </c>
      <c r="B251" s="10" t="s">
        <v>279</v>
      </c>
      <c r="C251" s="10" t="s">
        <v>15</v>
      </c>
      <c r="D251" s="10" t="s">
        <v>16</v>
      </c>
      <c r="E251" s="10" t="s">
        <v>17</v>
      </c>
      <c r="F251" s="10" t="s">
        <v>280</v>
      </c>
      <c r="G251" s="10" t="s">
        <v>281</v>
      </c>
      <c r="H251" s="10" t="s">
        <v>282</v>
      </c>
      <c r="I251" s="10" t="s">
        <v>283</v>
      </c>
      <c r="J251" s="10" t="s">
        <v>9</v>
      </c>
      <c r="K251" s="5">
        <v>46084.0</v>
      </c>
      <c r="L251" s="11" t="s">
        <v>784</v>
      </c>
      <c r="M251" s="7" t="str">
        <f>IFERROR(__xludf.DUMMYFUNCTION("TEXT(
  IF(RIGHT(A251,2)=""mo"",
    EDATE(DATEVALUE(K251), -VALUE(REGEXEXTRACT(A251,""\d+""))),
    DATEVALUE(K251) - IF(RIGHT(A251,1)=""h"", VALUE(REGEXEXTRACT(A251,""\d+""))/24,
         IF(RIGHT(A251,1)=""d"", VALUE(REGEXEXTRACT(A251,""\d+"")),
      "&amp;"   IF(RIGHT(A251,1)=""w"", VALUE(REGEXEXTRACT(A251,""\d+""))*7,
         0)))
  )
, ""YYYY-M-D"")"),"2026-2-17")</f>
        <v>2026-2-17</v>
      </c>
    </row>
    <row r="252">
      <c r="A252" s="10" t="s">
        <v>581</v>
      </c>
      <c r="B252" s="10" t="s">
        <v>607</v>
      </c>
      <c r="C252" s="10" t="s">
        <v>15</v>
      </c>
      <c r="D252" s="10" t="s">
        <v>16</v>
      </c>
      <c r="E252" s="10" t="s">
        <v>17</v>
      </c>
      <c r="F252" s="10" t="s">
        <v>608</v>
      </c>
      <c r="G252" s="10" t="s">
        <v>918</v>
      </c>
      <c r="H252" s="10" t="s">
        <v>610</v>
      </c>
      <c r="I252" s="10" t="s">
        <v>611</v>
      </c>
      <c r="J252" s="10" t="s">
        <v>9</v>
      </c>
      <c r="K252" s="5">
        <v>46084.0</v>
      </c>
      <c r="L252" s="11" t="s">
        <v>784</v>
      </c>
      <c r="M252" s="7" t="str">
        <f>IFERROR(__xludf.DUMMYFUNCTION("TEXT(
  IF(RIGHT(A252,2)=""mo"",
    EDATE(DATEVALUE(K252), -VALUE(REGEXEXTRACT(A252,""\d+""))),
    DATEVALUE(K252) - IF(RIGHT(A252,1)=""h"", VALUE(REGEXEXTRACT(A252,""\d+""))/24,
         IF(RIGHT(A252,1)=""d"", VALUE(REGEXEXTRACT(A252,""\d+"")),
      "&amp;"   IF(RIGHT(A252,1)=""w"", VALUE(REGEXEXTRACT(A252,""\d+""))*7,
         0)))
  )
, ""YYYY-M-D"")"),"2026-1-3")</f>
        <v>2026-1-3</v>
      </c>
    </row>
    <row r="253">
      <c r="A253" s="10" t="s">
        <v>379</v>
      </c>
      <c r="B253" s="10" t="s">
        <v>919</v>
      </c>
      <c r="C253" s="10" t="s">
        <v>15</v>
      </c>
      <c r="D253" s="10" t="s">
        <v>16</v>
      </c>
      <c r="E253" s="10" t="s">
        <v>17</v>
      </c>
      <c r="F253" s="10" t="s">
        <v>920</v>
      </c>
      <c r="G253" s="10" t="s">
        <v>921</v>
      </c>
      <c r="H253" s="10" t="s">
        <v>922</v>
      </c>
      <c r="I253" s="10" t="s">
        <v>923</v>
      </c>
      <c r="J253" s="10" t="s">
        <v>9</v>
      </c>
      <c r="K253" s="5">
        <v>46084.0</v>
      </c>
      <c r="L253" s="11" t="s">
        <v>784</v>
      </c>
      <c r="M253" s="7" t="str">
        <f>IFERROR(__xludf.DUMMYFUNCTION("TEXT(
  IF(RIGHT(A253,2)=""mo"",
    EDATE(DATEVALUE(K253), -VALUE(REGEXEXTRACT(A253,""\d+""))),
    DATEVALUE(K253) - IF(RIGHT(A253,1)=""h"", VALUE(REGEXEXTRACT(A253,""\d+""))/24,
         IF(RIGHT(A253,1)=""d"", VALUE(REGEXEXTRACT(A253,""\d+"")),
      "&amp;"   IF(RIGHT(A253,1)=""w"", VALUE(REGEXEXTRACT(A253,""\d+""))*7,
         0)))
  )
, ""YYYY-M-D"")"),"2026-2-3")</f>
        <v>2026-2-3</v>
      </c>
    </row>
    <row r="254">
      <c r="A254" s="10" t="s">
        <v>581</v>
      </c>
      <c r="B254" s="10" t="s">
        <v>924</v>
      </c>
      <c r="C254" s="10" t="s">
        <v>15</v>
      </c>
      <c r="D254" s="10" t="s">
        <v>44</v>
      </c>
      <c r="E254" s="10" t="s">
        <v>17</v>
      </c>
      <c r="F254" s="10" t="s">
        <v>337</v>
      </c>
      <c r="G254" s="10" t="s">
        <v>338</v>
      </c>
      <c r="H254" s="10" t="s">
        <v>925</v>
      </c>
      <c r="I254" s="10" t="s">
        <v>926</v>
      </c>
      <c r="J254" s="10" t="s">
        <v>9</v>
      </c>
      <c r="K254" s="5">
        <v>46084.0</v>
      </c>
      <c r="L254" s="11" t="s">
        <v>784</v>
      </c>
      <c r="M254" s="7" t="str">
        <f>IFERROR(__xludf.DUMMYFUNCTION("TEXT(
  IF(RIGHT(A254,2)=""mo"",
    EDATE(DATEVALUE(K254), -VALUE(REGEXEXTRACT(A254,""\d+""))),
    DATEVALUE(K254) - IF(RIGHT(A254,1)=""h"", VALUE(REGEXEXTRACT(A254,""\d+""))/24,
         IF(RIGHT(A254,1)=""d"", VALUE(REGEXEXTRACT(A254,""\d+"")),
      "&amp;"   IF(RIGHT(A254,1)=""w"", VALUE(REGEXEXTRACT(A254,""\d+""))*7,
         0)))
  )
, ""YYYY-M-D"")"),"2026-1-3")</f>
        <v>2026-1-3</v>
      </c>
    </row>
    <row r="255">
      <c r="A255" s="10" t="s">
        <v>379</v>
      </c>
      <c r="B255" s="10" t="s">
        <v>492</v>
      </c>
      <c r="C255" s="10" t="s">
        <v>15</v>
      </c>
      <c r="D255" s="10" t="s">
        <v>16</v>
      </c>
      <c r="E255" s="10" t="s">
        <v>17</v>
      </c>
      <c r="F255" s="10" t="s">
        <v>493</v>
      </c>
      <c r="G255" s="10" t="s">
        <v>494</v>
      </c>
      <c r="H255" s="10" t="s">
        <v>495</v>
      </c>
      <c r="I255" s="10" t="s">
        <v>496</v>
      </c>
      <c r="J255" s="10" t="s">
        <v>9</v>
      </c>
      <c r="K255" s="5">
        <v>46084.0</v>
      </c>
      <c r="L255" s="11" t="s">
        <v>784</v>
      </c>
      <c r="M255" s="7" t="str">
        <f>IFERROR(__xludf.DUMMYFUNCTION("TEXT(
  IF(RIGHT(A255,2)=""mo"",
    EDATE(DATEVALUE(K255), -VALUE(REGEXEXTRACT(A255,""\d+""))),
    DATEVALUE(K255) - IF(RIGHT(A255,1)=""h"", VALUE(REGEXEXTRACT(A255,""\d+""))/24,
         IF(RIGHT(A255,1)=""d"", VALUE(REGEXEXTRACT(A255,""\d+"")),
      "&amp;"   IF(RIGHT(A255,1)=""w"", VALUE(REGEXEXTRACT(A255,""\d+""))*7,
         0)))
  )
, ""YYYY-M-D"")"),"2026-2-3")</f>
        <v>2026-2-3</v>
      </c>
    </row>
    <row r="256">
      <c r="A256" s="10" t="s">
        <v>239</v>
      </c>
      <c r="B256" s="10" t="s">
        <v>927</v>
      </c>
      <c r="C256" s="10" t="s">
        <v>928</v>
      </c>
      <c r="D256" s="10" t="s">
        <v>16</v>
      </c>
      <c r="E256" s="10" t="s">
        <v>17</v>
      </c>
      <c r="F256" s="10" t="s">
        <v>929</v>
      </c>
      <c r="G256" s="10" t="s">
        <v>930</v>
      </c>
      <c r="H256" s="10" t="s">
        <v>931</v>
      </c>
      <c r="I256" s="10" t="s">
        <v>932</v>
      </c>
      <c r="J256" s="10" t="s">
        <v>9</v>
      </c>
      <c r="K256" s="5">
        <v>46084.0</v>
      </c>
      <c r="L256" s="11" t="s">
        <v>784</v>
      </c>
      <c r="M256" s="7" t="str">
        <f>IFERROR(__xludf.DUMMYFUNCTION("TEXT(
  IF(RIGHT(A256,2)=""mo"",
    EDATE(DATEVALUE(K256), -VALUE(REGEXEXTRACT(A256,""\d+""))),
    DATEVALUE(K256) - IF(RIGHT(A256,1)=""h"", VALUE(REGEXEXTRACT(A256,""\d+""))/24,
         IF(RIGHT(A256,1)=""d"", VALUE(REGEXEXTRACT(A256,""\d+"")),
      "&amp;"   IF(RIGHT(A256,1)=""w"", VALUE(REGEXEXTRACT(A256,""\d+""))*7,
         0)))
  )
, ""YYYY-M-D"")"),"2026-2-17")</f>
        <v>2026-2-17</v>
      </c>
    </row>
    <row r="257">
      <c r="A257" s="10" t="s">
        <v>173</v>
      </c>
      <c r="B257" s="10" t="s">
        <v>156</v>
      </c>
      <c r="C257" s="10" t="s">
        <v>15</v>
      </c>
      <c r="D257" s="10" t="s">
        <v>16</v>
      </c>
      <c r="E257" s="10" t="s">
        <v>17</v>
      </c>
      <c r="F257" s="10" t="s">
        <v>157</v>
      </c>
      <c r="G257" s="10" t="s">
        <v>158</v>
      </c>
      <c r="H257" s="10" t="s">
        <v>159</v>
      </c>
      <c r="I257" s="10" t="s">
        <v>160</v>
      </c>
      <c r="J257" s="10" t="s">
        <v>9</v>
      </c>
      <c r="K257" s="5">
        <v>46084.0</v>
      </c>
      <c r="L257" s="11" t="s">
        <v>784</v>
      </c>
      <c r="M257" s="7" t="str">
        <f>IFERROR(__xludf.DUMMYFUNCTION("TEXT(
  IF(RIGHT(A257,2)=""mo"",
    EDATE(DATEVALUE(K257), -VALUE(REGEXEXTRACT(A257,""\d+""))),
    DATEVALUE(K257) - IF(RIGHT(A257,1)=""h"", VALUE(REGEXEXTRACT(A257,""\d+""))/24,
         IF(RIGHT(A257,1)=""d"", VALUE(REGEXEXTRACT(A257,""\d+"")),
      "&amp;"   IF(RIGHT(A257,1)=""w"", VALUE(REGEXEXTRACT(A257,""\d+""))*7,
         0)))
  )
, ""YYYY-M-D"")"),"2026-2-24")</f>
        <v>2026-2-24</v>
      </c>
    </row>
    <row r="258">
      <c r="A258" s="10" t="s">
        <v>379</v>
      </c>
      <c r="B258" s="10" t="s">
        <v>933</v>
      </c>
      <c r="C258" s="10" t="s">
        <v>934</v>
      </c>
      <c r="D258" s="10" t="s">
        <v>37</v>
      </c>
      <c r="E258" s="10" t="s">
        <v>17</v>
      </c>
      <c r="F258" s="10" t="s">
        <v>77</v>
      </c>
      <c r="G258" s="10" t="s">
        <v>78</v>
      </c>
      <c r="H258" s="10" t="s">
        <v>935</v>
      </c>
      <c r="I258" s="10" t="s">
        <v>936</v>
      </c>
      <c r="J258" s="10" t="s">
        <v>9</v>
      </c>
      <c r="K258" s="5">
        <v>46084.0</v>
      </c>
      <c r="L258" s="11" t="s">
        <v>784</v>
      </c>
      <c r="M258" s="7" t="str">
        <f>IFERROR(__xludf.DUMMYFUNCTION("TEXT(
  IF(RIGHT(A258,2)=""mo"",
    EDATE(DATEVALUE(K258), -VALUE(REGEXEXTRACT(A258,""\d+""))),
    DATEVALUE(K258) - IF(RIGHT(A258,1)=""h"", VALUE(REGEXEXTRACT(A258,""\d+""))/24,
         IF(RIGHT(A258,1)=""d"", VALUE(REGEXEXTRACT(A258,""\d+"")),
      "&amp;"   IF(RIGHT(A258,1)=""w"", VALUE(REGEXEXTRACT(A258,""\d+""))*7,
         0)))
  )
, ""YYYY-M-D"")"),"2026-2-3")</f>
        <v>2026-2-3</v>
      </c>
    </row>
    <row r="259">
      <c r="A259" s="10" t="s">
        <v>23</v>
      </c>
      <c r="B259" s="10" t="s">
        <v>937</v>
      </c>
      <c r="C259" s="10" t="s">
        <v>15</v>
      </c>
      <c r="D259" s="10" t="s">
        <v>44</v>
      </c>
      <c r="E259" s="10" t="s">
        <v>17</v>
      </c>
      <c r="F259" s="10" t="s">
        <v>938</v>
      </c>
      <c r="G259" s="10" t="s">
        <v>939</v>
      </c>
      <c r="H259" s="10" t="s">
        <v>940</v>
      </c>
      <c r="I259" s="10" t="s">
        <v>941</v>
      </c>
      <c r="J259" s="10" t="s">
        <v>9</v>
      </c>
      <c r="K259" s="5">
        <v>46084.0</v>
      </c>
      <c r="L259" s="11" t="s">
        <v>784</v>
      </c>
      <c r="M259" s="7" t="str">
        <f>IFERROR(__xludf.DUMMYFUNCTION("TEXT(
  IF(RIGHT(A259,2)=""mo"",
    EDATE(DATEVALUE(K259), -VALUE(REGEXEXTRACT(A259,""\d+""))),
    DATEVALUE(K259) - IF(RIGHT(A259,1)=""h"", VALUE(REGEXEXTRACT(A259,""\d+""))/24,
         IF(RIGHT(A259,1)=""d"", VALUE(REGEXEXTRACT(A259,""\d+"")),
      "&amp;"   IF(RIGHT(A259,1)=""w"", VALUE(REGEXEXTRACT(A259,""\d+""))*7,
         0)))
  )
, ""YYYY-M-D"")"),"2026-3-2")</f>
        <v>2026-3-2</v>
      </c>
    </row>
    <row r="260">
      <c r="A260" s="10" t="s">
        <v>370</v>
      </c>
      <c r="B260" s="10" t="s">
        <v>942</v>
      </c>
      <c r="C260" s="10" t="s">
        <v>15</v>
      </c>
      <c r="D260" s="10" t="s">
        <v>44</v>
      </c>
      <c r="E260" s="10" t="s">
        <v>17</v>
      </c>
      <c r="F260" s="10" t="s">
        <v>943</v>
      </c>
      <c r="G260" s="10" t="s">
        <v>944</v>
      </c>
      <c r="H260" s="10" t="s">
        <v>945</v>
      </c>
      <c r="I260" s="10" t="s">
        <v>946</v>
      </c>
      <c r="J260" s="10" t="s">
        <v>9</v>
      </c>
      <c r="K260" s="5">
        <v>46084.0</v>
      </c>
      <c r="L260" s="11" t="s">
        <v>784</v>
      </c>
      <c r="M260" s="7" t="str">
        <f>IFERROR(__xludf.DUMMYFUNCTION("TEXT(
  IF(RIGHT(A260,2)=""mo"",
    EDATE(DATEVALUE(K260), -VALUE(REGEXEXTRACT(A260,""\d+""))),
    DATEVALUE(K260) - IF(RIGHT(A260,1)=""h"", VALUE(REGEXEXTRACT(A260,""\d+""))/24,
         IF(RIGHT(A260,1)=""d"", VALUE(REGEXEXTRACT(A260,""\d+"")),
      "&amp;"   IF(RIGHT(A260,1)=""w"", VALUE(REGEXEXTRACT(A260,""\d+""))*7,
         0)))
  )
, ""YYYY-M-D"")"),"2026-2-3")</f>
        <v>2026-2-3</v>
      </c>
    </row>
    <row r="261">
      <c r="A261" s="10" t="s">
        <v>379</v>
      </c>
      <c r="B261" s="10" t="s">
        <v>947</v>
      </c>
      <c r="C261" s="10" t="s">
        <v>15</v>
      </c>
      <c r="D261" s="10" t="s">
        <v>16</v>
      </c>
      <c r="E261" s="10" t="s">
        <v>17</v>
      </c>
      <c r="F261" s="10" t="s">
        <v>381</v>
      </c>
      <c r="G261" s="10" t="s">
        <v>948</v>
      </c>
      <c r="H261" s="10" t="s">
        <v>949</v>
      </c>
      <c r="I261" s="10" t="s">
        <v>950</v>
      </c>
      <c r="J261" s="10" t="s">
        <v>9</v>
      </c>
      <c r="K261" s="5">
        <v>46084.0</v>
      </c>
      <c r="L261" s="11" t="s">
        <v>784</v>
      </c>
      <c r="M261" s="7" t="str">
        <f>IFERROR(__xludf.DUMMYFUNCTION("TEXT(
  IF(RIGHT(A261,2)=""mo"",
    EDATE(DATEVALUE(K261), -VALUE(REGEXEXTRACT(A261,""\d+""))),
    DATEVALUE(K261) - IF(RIGHT(A261,1)=""h"", VALUE(REGEXEXTRACT(A261,""\d+""))/24,
         IF(RIGHT(A261,1)=""d"", VALUE(REGEXEXTRACT(A261,""\d+"")),
      "&amp;"   IF(RIGHT(A261,1)=""w"", VALUE(REGEXEXTRACT(A261,""\d+""))*7,
         0)))
  )
, ""YYYY-M-D"")"),"2026-2-3")</f>
        <v>2026-2-3</v>
      </c>
    </row>
    <row r="262">
      <c r="A262" s="10" t="s">
        <v>173</v>
      </c>
      <c r="B262" s="10" t="s">
        <v>218</v>
      </c>
      <c r="C262" s="10" t="s">
        <v>15</v>
      </c>
      <c r="D262" s="10" t="s">
        <v>44</v>
      </c>
      <c r="E262" s="10" t="s">
        <v>17</v>
      </c>
      <c r="F262" s="10" t="s">
        <v>219</v>
      </c>
      <c r="G262" s="10" t="s">
        <v>220</v>
      </c>
      <c r="H262" s="10" t="s">
        <v>221</v>
      </c>
      <c r="I262" s="10" t="s">
        <v>222</v>
      </c>
      <c r="J262" s="10" t="s">
        <v>9</v>
      </c>
      <c r="K262" s="5">
        <v>46084.0</v>
      </c>
      <c r="L262" s="11" t="s">
        <v>784</v>
      </c>
      <c r="M262" s="7" t="str">
        <f>IFERROR(__xludf.DUMMYFUNCTION("TEXT(
  IF(RIGHT(A262,2)=""mo"",
    EDATE(DATEVALUE(K262), -VALUE(REGEXEXTRACT(A262,""\d+""))),
    DATEVALUE(K262) - IF(RIGHT(A262,1)=""h"", VALUE(REGEXEXTRACT(A262,""\d+""))/24,
         IF(RIGHT(A262,1)=""d"", VALUE(REGEXEXTRACT(A262,""\d+"")),
      "&amp;"   IF(RIGHT(A262,1)=""w"", VALUE(REGEXEXTRACT(A262,""\d+""))*7,
         0)))
  )
, ""YYYY-M-D"")"),"2026-2-24")</f>
        <v>2026-2-24</v>
      </c>
    </row>
    <row r="263">
      <c r="A263" s="10" t="s">
        <v>379</v>
      </c>
      <c r="B263" s="10" t="s">
        <v>951</v>
      </c>
      <c r="C263" s="10" t="s">
        <v>952</v>
      </c>
      <c r="D263" s="10" t="s">
        <v>16</v>
      </c>
      <c r="E263" s="10" t="s">
        <v>17</v>
      </c>
      <c r="F263" s="10" t="s">
        <v>466</v>
      </c>
      <c r="G263" s="10" t="s">
        <v>953</v>
      </c>
      <c r="H263" s="10" t="s">
        <v>954</v>
      </c>
      <c r="I263" s="10" t="s">
        <v>160</v>
      </c>
      <c r="J263" s="10" t="s">
        <v>9</v>
      </c>
      <c r="K263" s="5">
        <v>46084.0</v>
      </c>
      <c r="L263" s="11" t="s">
        <v>784</v>
      </c>
      <c r="M263" s="7" t="str">
        <f>IFERROR(__xludf.DUMMYFUNCTION("TEXT(
  IF(RIGHT(A263,2)=""mo"",
    EDATE(DATEVALUE(K263), -VALUE(REGEXEXTRACT(A263,""\d+""))),
    DATEVALUE(K263) - IF(RIGHT(A263,1)=""h"", VALUE(REGEXEXTRACT(A263,""\d+""))/24,
         IF(RIGHT(A263,1)=""d"", VALUE(REGEXEXTRACT(A263,""\d+"")),
      "&amp;"   IF(RIGHT(A263,1)=""w"", VALUE(REGEXEXTRACT(A263,""\d+""))*7,
         0)))
  )
, ""YYYY-M-D"")"),"2026-2-3")</f>
        <v>2026-2-3</v>
      </c>
    </row>
    <row r="264">
      <c r="A264" s="10" t="s">
        <v>379</v>
      </c>
      <c r="B264" s="10" t="s">
        <v>448</v>
      </c>
      <c r="C264" s="10" t="s">
        <v>449</v>
      </c>
      <c r="D264" s="10" t="s">
        <v>37</v>
      </c>
      <c r="E264" s="10" t="s">
        <v>421</v>
      </c>
      <c r="F264" s="10" t="s">
        <v>450</v>
      </c>
      <c r="G264" s="10" t="s">
        <v>451</v>
      </c>
      <c r="H264" s="10" t="s">
        <v>452</v>
      </c>
      <c r="I264" s="10" t="s">
        <v>453</v>
      </c>
      <c r="J264" s="10" t="s">
        <v>9</v>
      </c>
      <c r="K264" s="5">
        <v>46084.0</v>
      </c>
      <c r="L264" s="11" t="s">
        <v>784</v>
      </c>
      <c r="M264" s="7" t="str">
        <f>IFERROR(__xludf.DUMMYFUNCTION("TEXT(
  IF(RIGHT(A264,2)=""mo"",
    EDATE(DATEVALUE(K264), -VALUE(REGEXEXTRACT(A264,""\d+""))),
    DATEVALUE(K264) - IF(RIGHT(A264,1)=""h"", VALUE(REGEXEXTRACT(A264,""\d+""))/24,
         IF(RIGHT(A264,1)=""d"", VALUE(REGEXEXTRACT(A264,""\d+"")),
      "&amp;"   IF(RIGHT(A264,1)=""w"", VALUE(REGEXEXTRACT(A264,""\d+""))*7,
         0)))
  )
, ""YYYY-M-D"")"),"2026-2-3")</f>
        <v>2026-2-3</v>
      </c>
    </row>
    <row r="265">
      <c r="A265" s="10" t="s">
        <v>239</v>
      </c>
      <c r="B265" s="10" t="s">
        <v>245</v>
      </c>
      <c r="C265" s="10" t="s">
        <v>246</v>
      </c>
      <c r="D265" s="10" t="s">
        <v>44</v>
      </c>
      <c r="E265" s="10" t="s">
        <v>17</v>
      </c>
      <c r="F265" s="10" t="s">
        <v>247</v>
      </c>
      <c r="G265" s="10" t="s">
        <v>955</v>
      </c>
      <c r="H265" s="10" t="s">
        <v>249</v>
      </c>
      <c r="I265" s="10" t="s">
        <v>250</v>
      </c>
      <c r="J265" s="10" t="s">
        <v>9</v>
      </c>
      <c r="K265" s="5">
        <v>46084.0</v>
      </c>
      <c r="L265" s="11" t="s">
        <v>784</v>
      </c>
      <c r="M265" s="7" t="str">
        <f>IFERROR(__xludf.DUMMYFUNCTION("TEXT(
  IF(RIGHT(A265,2)=""mo"",
    EDATE(DATEVALUE(K265), -VALUE(REGEXEXTRACT(A265,""\d+""))),
    DATEVALUE(K265) - IF(RIGHT(A265,1)=""h"", VALUE(REGEXEXTRACT(A265,""\d+""))/24,
         IF(RIGHT(A265,1)=""d"", VALUE(REGEXEXTRACT(A265,""\d+"")),
      "&amp;"   IF(RIGHT(A265,1)=""w"", VALUE(REGEXEXTRACT(A265,""\d+""))*7,
         0)))
  )
, ""YYYY-M-D"")"),"2026-2-17")</f>
        <v>2026-2-17</v>
      </c>
    </row>
    <row r="266">
      <c r="A266" s="10" t="s">
        <v>581</v>
      </c>
      <c r="B266" s="10" t="s">
        <v>956</v>
      </c>
      <c r="C266" s="10" t="s">
        <v>15</v>
      </c>
      <c r="D266" s="10" t="s">
        <v>44</v>
      </c>
      <c r="E266" s="10" t="s">
        <v>17</v>
      </c>
      <c r="F266" s="10" t="s">
        <v>957</v>
      </c>
      <c r="G266" s="10" t="s">
        <v>958</v>
      </c>
      <c r="H266" s="10" t="s">
        <v>959</v>
      </c>
      <c r="I266" s="10" t="s">
        <v>960</v>
      </c>
      <c r="J266" s="10" t="s">
        <v>9</v>
      </c>
      <c r="K266" s="5">
        <v>46084.0</v>
      </c>
      <c r="L266" s="11" t="s">
        <v>784</v>
      </c>
      <c r="M266" s="7" t="str">
        <f>IFERROR(__xludf.DUMMYFUNCTION("TEXT(
  IF(RIGHT(A266,2)=""mo"",
    EDATE(DATEVALUE(K266), -VALUE(REGEXEXTRACT(A266,""\d+""))),
    DATEVALUE(K266) - IF(RIGHT(A266,1)=""h"", VALUE(REGEXEXTRACT(A266,""\d+""))/24,
         IF(RIGHT(A266,1)=""d"", VALUE(REGEXEXTRACT(A266,""\d+"")),
      "&amp;"   IF(RIGHT(A266,1)=""w"", VALUE(REGEXEXTRACT(A266,""\d+""))*7,
         0)))
  )
, ""YYYY-M-D"")"),"2026-1-3")</f>
        <v>2026-1-3</v>
      </c>
    </row>
    <row r="267">
      <c r="A267" s="10" t="s">
        <v>379</v>
      </c>
      <c r="B267" s="10" t="s">
        <v>961</v>
      </c>
      <c r="C267" s="10" t="s">
        <v>15</v>
      </c>
      <c r="D267" s="10" t="s">
        <v>16</v>
      </c>
      <c r="E267" s="10" t="s">
        <v>17</v>
      </c>
      <c r="F267" s="10" t="s">
        <v>381</v>
      </c>
      <c r="G267" s="10" t="s">
        <v>962</v>
      </c>
      <c r="H267" s="10" t="s">
        <v>963</v>
      </c>
      <c r="I267" s="10" t="s">
        <v>964</v>
      </c>
      <c r="J267" s="10" t="s">
        <v>9</v>
      </c>
      <c r="K267" s="5">
        <v>46084.0</v>
      </c>
      <c r="L267" s="11" t="s">
        <v>784</v>
      </c>
      <c r="M267" s="7" t="str">
        <f>IFERROR(__xludf.DUMMYFUNCTION("TEXT(
  IF(RIGHT(A267,2)=""mo"",
    EDATE(DATEVALUE(K267), -VALUE(REGEXEXTRACT(A267,""\d+""))),
    DATEVALUE(K267) - IF(RIGHT(A267,1)=""h"", VALUE(REGEXEXTRACT(A267,""\d+""))/24,
         IF(RIGHT(A267,1)=""d"", VALUE(REGEXEXTRACT(A267,""\d+"")),
      "&amp;"   IF(RIGHT(A267,1)=""w"", VALUE(REGEXEXTRACT(A267,""\d+""))*7,
         0)))
  )
, ""YYYY-M-D"")"),"2026-2-3")</f>
        <v>2026-2-3</v>
      </c>
    </row>
    <row r="268">
      <c r="A268" s="10" t="s">
        <v>581</v>
      </c>
      <c r="B268" s="10" t="s">
        <v>612</v>
      </c>
      <c r="C268" s="10" t="s">
        <v>613</v>
      </c>
      <c r="D268" s="10" t="s">
        <v>44</v>
      </c>
      <c r="E268" s="10" t="s">
        <v>17</v>
      </c>
      <c r="F268" s="10" t="s">
        <v>614</v>
      </c>
      <c r="G268" s="10" t="s">
        <v>615</v>
      </c>
      <c r="H268" s="10" t="s">
        <v>616</v>
      </c>
      <c r="I268" s="10" t="s">
        <v>617</v>
      </c>
      <c r="J268" s="10" t="s">
        <v>9</v>
      </c>
      <c r="K268" s="5">
        <v>46084.0</v>
      </c>
      <c r="L268" s="11" t="s">
        <v>784</v>
      </c>
      <c r="M268" s="7" t="str">
        <f>IFERROR(__xludf.DUMMYFUNCTION("TEXT(
  IF(RIGHT(A268,2)=""mo"",
    EDATE(DATEVALUE(K268), -VALUE(REGEXEXTRACT(A268,""\d+""))),
    DATEVALUE(K268) - IF(RIGHT(A268,1)=""h"", VALUE(REGEXEXTRACT(A268,""\d+""))/24,
         IF(RIGHT(A268,1)=""d"", VALUE(REGEXEXTRACT(A268,""\d+"")),
      "&amp;"   IF(RIGHT(A268,1)=""w"", VALUE(REGEXEXTRACT(A268,""\d+""))*7,
         0)))
  )
, ""YYYY-M-D"")"),"2026-1-3")</f>
        <v>2026-1-3</v>
      </c>
    </row>
    <row r="269">
      <c r="A269" s="10" t="s">
        <v>379</v>
      </c>
      <c r="B269" s="10" t="s">
        <v>517</v>
      </c>
      <c r="C269" s="10" t="s">
        <v>518</v>
      </c>
      <c r="D269" s="10" t="s">
        <v>44</v>
      </c>
      <c r="E269" s="10" t="s">
        <v>17</v>
      </c>
      <c r="F269" s="10" t="s">
        <v>519</v>
      </c>
      <c r="G269" s="10" t="s">
        <v>520</v>
      </c>
      <c r="H269" s="10" t="s">
        <v>521</v>
      </c>
      <c r="I269" s="10" t="s">
        <v>522</v>
      </c>
      <c r="J269" s="10" t="s">
        <v>9</v>
      </c>
      <c r="K269" s="5">
        <v>46084.0</v>
      </c>
      <c r="L269" s="11" t="s">
        <v>784</v>
      </c>
      <c r="M269" s="7" t="str">
        <f>IFERROR(__xludf.DUMMYFUNCTION("TEXT(
  IF(RIGHT(A269,2)=""mo"",
    EDATE(DATEVALUE(K269), -VALUE(REGEXEXTRACT(A269,""\d+""))),
    DATEVALUE(K269) - IF(RIGHT(A269,1)=""h"", VALUE(REGEXEXTRACT(A269,""\d+""))/24,
         IF(RIGHT(A269,1)=""d"", VALUE(REGEXEXTRACT(A269,""\d+"")),
      "&amp;"   IF(RIGHT(A269,1)=""w"", VALUE(REGEXEXTRACT(A269,""\d+""))*7,
         0)))
  )
, ""YYYY-M-D"")"),"2026-2-3")</f>
        <v>2026-2-3</v>
      </c>
    </row>
    <row r="270">
      <c r="A270" s="10" t="s">
        <v>581</v>
      </c>
      <c r="B270" s="10" t="s">
        <v>634</v>
      </c>
      <c r="C270" s="10" t="s">
        <v>635</v>
      </c>
      <c r="D270" s="10" t="s">
        <v>37</v>
      </c>
      <c r="E270" s="10" t="s">
        <v>17</v>
      </c>
      <c r="F270" s="10" t="s">
        <v>636</v>
      </c>
      <c r="G270" s="10" t="s">
        <v>637</v>
      </c>
      <c r="H270" s="10" t="s">
        <v>638</v>
      </c>
      <c r="I270" s="10" t="s">
        <v>639</v>
      </c>
      <c r="J270" s="10" t="s">
        <v>9</v>
      </c>
      <c r="K270" s="5">
        <v>46084.0</v>
      </c>
      <c r="L270" s="11" t="s">
        <v>784</v>
      </c>
      <c r="M270" s="7" t="str">
        <f>IFERROR(__xludf.DUMMYFUNCTION("TEXT(
  IF(RIGHT(A270,2)=""mo"",
    EDATE(DATEVALUE(K270), -VALUE(REGEXEXTRACT(A270,""\d+""))),
    DATEVALUE(K270) - IF(RIGHT(A270,1)=""h"", VALUE(REGEXEXTRACT(A270,""\d+""))/24,
         IF(RIGHT(A270,1)=""d"", VALUE(REGEXEXTRACT(A270,""\d+"")),
      "&amp;"   IF(RIGHT(A270,1)=""w"", VALUE(REGEXEXTRACT(A270,""\d+""))*7,
         0)))
  )
, ""YYYY-M-D"")"),"2026-1-3")</f>
        <v>2026-1-3</v>
      </c>
    </row>
    <row r="271">
      <c r="A271" s="10" t="s">
        <v>379</v>
      </c>
      <c r="B271" s="10" t="s">
        <v>385</v>
      </c>
      <c r="C271" s="10" t="s">
        <v>15</v>
      </c>
      <c r="D271" s="10" t="s">
        <v>16</v>
      </c>
      <c r="E271" s="10" t="s">
        <v>17</v>
      </c>
      <c r="F271" s="10" t="s">
        <v>381</v>
      </c>
      <c r="G271" s="10" t="s">
        <v>965</v>
      </c>
      <c r="H271" s="10" t="s">
        <v>387</v>
      </c>
      <c r="I271" s="10" t="s">
        <v>388</v>
      </c>
      <c r="J271" s="10" t="s">
        <v>9</v>
      </c>
      <c r="K271" s="5">
        <v>46084.0</v>
      </c>
      <c r="L271" s="11" t="s">
        <v>784</v>
      </c>
      <c r="M271" s="7" t="str">
        <f>IFERROR(__xludf.DUMMYFUNCTION("TEXT(
  IF(RIGHT(A271,2)=""mo"",
    EDATE(DATEVALUE(K271), -VALUE(REGEXEXTRACT(A271,""\d+""))),
    DATEVALUE(K271) - IF(RIGHT(A271,1)=""h"", VALUE(REGEXEXTRACT(A271,""\d+""))/24,
         IF(RIGHT(A271,1)=""d"", VALUE(REGEXEXTRACT(A271,""\d+"")),
      "&amp;"   IF(RIGHT(A271,1)=""w"", VALUE(REGEXEXTRACT(A271,""\d+""))*7,
         0)))
  )
, ""YYYY-M-D"")"),"2026-2-3")</f>
        <v>2026-2-3</v>
      </c>
    </row>
    <row r="272">
      <c r="A272" s="10" t="s">
        <v>123</v>
      </c>
      <c r="B272" s="10" t="s">
        <v>100</v>
      </c>
      <c r="C272" s="10" t="s">
        <v>15</v>
      </c>
      <c r="D272" s="10" t="s">
        <v>16</v>
      </c>
      <c r="E272" s="10" t="s">
        <v>17</v>
      </c>
      <c r="F272" s="10" t="s">
        <v>101</v>
      </c>
      <c r="G272" s="10" t="s">
        <v>966</v>
      </c>
      <c r="H272" s="10" t="s">
        <v>103</v>
      </c>
      <c r="I272" s="10" t="s">
        <v>104</v>
      </c>
      <c r="J272" s="10" t="s">
        <v>9</v>
      </c>
      <c r="K272" s="5">
        <v>46084.0</v>
      </c>
      <c r="L272" s="11" t="s">
        <v>784</v>
      </c>
      <c r="M272" s="7" t="str">
        <f>IFERROR(__xludf.DUMMYFUNCTION("TEXT(
  IF(RIGHT(A272,2)=""mo"",
    EDATE(DATEVALUE(K272), -VALUE(REGEXEXTRACT(A272,""\d+""))),
    DATEVALUE(K272) - IF(RIGHT(A272,1)=""h"", VALUE(REGEXEXTRACT(A272,""\d+""))/24,
         IF(RIGHT(A272,1)=""d"", VALUE(REGEXEXTRACT(A272,""\d+"")),
      "&amp;"   IF(RIGHT(A272,1)=""w"", VALUE(REGEXEXTRACT(A272,""\d+""))*7,
         0)))
  )
, ""YYYY-M-D"")"),"2026-2-26")</f>
        <v>2026-2-26</v>
      </c>
    </row>
    <row r="273">
      <c r="A273" s="10" t="s">
        <v>239</v>
      </c>
      <c r="B273" s="10" t="s">
        <v>240</v>
      </c>
      <c r="C273" s="10" t="s">
        <v>15</v>
      </c>
      <c r="D273" s="10" t="s">
        <v>44</v>
      </c>
      <c r="E273" s="10" t="s">
        <v>17</v>
      </c>
      <c r="F273" s="10" t="s">
        <v>241</v>
      </c>
      <c r="G273" s="10" t="s">
        <v>967</v>
      </c>
      <c r="H273" s="10" t="s">
        <v>243</v>
      </c>
      <c r="I273" s="10" t="s">
        <v>244</v>
      </c>
      <c r="J273" s="10" t="s">
        <v>9</v>
      </c>
      <c r="K273" s="5">
        <v>46084.0</v>
      </c>
      <c r="L273" s="11" t="s">
        <v>784</v>
      </c>
      <c r="M273" s="7" t="str">
        <f>IFERROR(__xludf.DUMMYFUNCTION("TEXT(
  IF(RIGHT(A273,2)=""mo"",
    EDATE(DATEVALUE(K273), -VALUE(REGEXEXTRACT(A273,""\d+""))),
    DATEVALUE(K273) - IF(RIGHT(A273,1)=""h"", VALUE(REGEXEXTRACT(A273,""\d+""))/24,
         IF(RIGHT(A273,1)=""d"", VALUE(REGEXEXTRACT(A273,""\d+"")),
      "&amp;"   IF(RIGHT(A273,1)=""w"", VALUE(REGEXEXTRACT(A273,""\d+""))*7,
         0)))
  )
, ""YYYY-M-D"")"),"2026-2-17")</f>
        <v>2026-2-17</v>
      </c>
    </row>
    <row r="274">
      <c r="A274" s="10" t="s">
        <v>379</v>
      </c>
      <c r="B274" s="10" t="s">
        <v>415</v>
      </c>
      <c r="C274" s="10" t="s">
        <v>15</v>
      </c>
      <c r="D274" s="10" t="s">
        <v>44</v>
      </c>
      <c r="E274" s="10" t="s">
        <v>17</v>
      </c>
      <c r="F274" s="10" t="s">
        <v>416</v>
      </c>
      <c r="G274" s="10" t="s">
        <v>968</v>
      </c>
      <c r="H274" s="10" t="s">
        <v>418</v>
      </c>
      <c r="I274" s="10" t="s">
        <v>419</v>
      </c>
      <c r="J274" s="10" t="s">
        <v>9</v>
      </c>
      <c r="K274" s="5">
        <v>46084.0</v>
      </c>
      <c r="L274" s="11" t="s">
        <v>784</v>
      </c>
      <c r="M274" s="7" t="str">
        <f>IFERROR(__xludf.DUMMYFUNCTION("TEXT(
  IF(RIGHT(A274,2)=""mo"",
    EDATE(DATEVALUE(K274), -VALUE(REGEXEXTRACT(A274,""\d+""))),
    DATEVALUE(K274) - IF(RIGHT(A274,1)=""h"", VALUE(REGEXEXTRACT(A274,""\d+""))/24,
         IF(RIGHT(A274,1)=""d"", VALUE(REGEXEXTRACT(A274,""\d+"")),
      "&amp;"   IF(RIGHT(A274,1)=""w"", VALUE(REGEXEXTRACT(A274,""\d+""))*7,
         0)))
  )
, ""YYYY-M-D"")"),"2026-2-3")</f>
        <v>2026-2-3</v>
      </c>
    </row>
    <row r="275">
      <c r="A275" s="10" t="s">
        <v>321</v>
      </c>
      <c r="B275" s="10" t="s">
        <v>346</v>
      </c>
      <c r="C275" s="10" t="s">
        <v>15</v>
      </c>
      <c r="D275" s="10" t="s">
        <v>44</v>
      </c>
      <c r="E275" s="10" t="s">
        <v>67</v>
      </c>
      <c r="F275" s="10" t="s">
        <v>347</v>
      </c>
      <c r="G275" s="10" t="s">
        <v>348</v>
      </c>
      <c r="H275" s="10" t="s">
        <v>349</v>
      </c>
      <c r="I275" s="10" t="s">
        <v>350</v>
      </c>
      <c r="J275" s="10" t="s">
        <v>9</v>
      </c>
      <c r="K275" s="5">
        <v>46084.0</v>
      </c>
      <c r="L275" s="11" t="s">
        <v>784</v>
      </c>
      <c r="M275" s="7" t="str">
        <f>IFERROR(__xludf.DUMMYFUNCTION("TEXT(
  IF(RIGHT(A275,2)=""mo"",
    EDATE(DATEVALUE(K275), -VALUE(REGEXEXTRACT(A275,""\d+""))),
    DATEVALUE(K275) - IF(RIGHT(A275,1)=""h"", VALUE(REGEXEXTRACT(A275,""\d+""))/24,
         IF(RIGHT(A275,1)=""d"", VALUE(REGEXEXTRACT(A275,""\d+"")),
      "&amp;"   IF(RIGHT(A275,1)=""w"", VALUE(REGEXEXTRACT(A275,""\d+""))*7,
         0)))
  )
, ""YYYY-M-D"")"),"2026-2-10")</f>
        <v>2026-2-10</v>
      </c>
    </row>
    <row r="276">
      <c r="A276" s="10" t="s">
        <v>59</v>
      </c>
      <c r="B276" s="10" t="s">
        <v>49</v>
      </c>
      <c r="C276" s="10" t="s">
        <v>15</v>
      </c>
      <c r="D276" s="10" t="s">
        <v>16</v>
      </c>
      <c r="E276" s="10" t="s">
        <v>17</v>
      </c>
      <c r="F276" s="10" t="s">
        <v>50</v>
      </c>
      <c r="G276" s="10" t="s">
        <v>51</v>
      </c>
      <c r="H276" s="10" t="s">
        <v>52</v>
      </c>
      <c r="I276" s="10" t="s">
        <v>53</v>
      </c>
      <c r="J276" s="10" t="s">
        <v>9</v>
      </c>
      <c r="K276" s="5">
        <v>46084.0</v>
      </c>
      <c r="L276" s="11" t="s">
        <v>784</v>
      </c>
      <c r="M276" s="7" t="str">
        <f>IFERROR(__xludf.DUMMYFUNCTION("TEXT(
  IF(RIGHT(A276,2)=""mo"",
    EDATE(DATEVALUE(K276), -VALUE(REGEXEXTRACT(A276,""\d+""))),
    DATEVALUE(K276) - IF(RIGHT(A276,1)=""h"", VALUE(REGEXEXTRACT(A276,""\d+""))/24,
         IF(RIGHT(A276,1)=""d"", VALUE(REGEXEXTRACT(A276,""\d+"")),
      "&amp;"   IF(RIGHT(A276,1)=""w"", VALUE(REGEXEXTRACT(A276,""\d+""))*7,
         0)))
  )
, ""YYYY-M-D"")"),"2026-2-27")</f>
        <v>2026-2-27</v>
      </c>
    </row>
    <row r="277">
      <c r="A277" s="10" t="s">
        <v>581</v>
      </c>
      <c r="B277" s="10" t="s">
        <v>969</v>
      </c>
      <c r="C277" s="10" t="s">
        <v>15</v>
      </c>
      <c r="D277" s="10" t="s">
        <v>16</v>
      </c>
      <c r="E277" s="10" t="s">
        <v>17</v>
      </c>
      <c r="F277" s="10" t="s">
        <v>460</v>
      </c>
      <c r="G277" s="10" t="s">
        <v>970</v>
      </c>
      <c r="H277" s="10" t="s">
        <v>971</v>
      </c>
      <c r="I277" s="10" t="s">
        <v>972</v>
      </c>
      <c r="J277" s="10" t="s">
        <v>9</v>
      </c>
      <c r="K277" s="5">
        <v>46084.0</v>
      </c>
      <c r="L277" s="11" t="s">
        <v>784</v>
      </c>
      <c r="M277" s="7" t="str">
        <f>IFERROR(__xludf.DUMMYFUNCTION("TEXT(
  IF(RIGHT(A277,2)=""mo"",
    EDATE(DATEVALUE(K277), -VALUE(REGEXEXTRACT(A277,""\d+""))),
    DATEVALUE(K277) - IF(RIGHT(A277,1)=""h"", VALUE(REGEXEXTRACT(A277,""\d+""))/24,
         IF(RIGHT(A277,1)=""d"", VALUE(REGEXEXTRACT(A277,""\d+"")),
      "&amp;"   IF(RIGHT(A277,1)=""w"", VALUE(REGEXEXTRACT(A277,""\d+""))*7,
         0)))
  )
, ""YYYY-M-D"")"),"2026-1-3")</f>
        <v>2026-1-3</v>
      </c>
    </row>
    <row r="278">
      <c r="A278" s="10" t="s">
        <v>379</v>
      </c>
      <c r="B278" s="10" t="s">
        <v>562</v>
      </c>
      <c r="C278" s="10" t="s">
        <v>15</v>
      </c>
      <c r="D278" s="10" t="s">
        <v>16</v>
      </c>
      <c r="E278" s="10" t="s">
        <v>17</v>
      </c>
      <c r="F278" s="10" t="s">
        <v>563</v>
      </c>
      <c r="G278" s="10" t="s">
        <v>564</v>
      </c>
      <c r="H278" s="10" t="s">
        <v>565</v>
      </c>
      <c r="I278" s="10" t="s">
        <v>21</v>
      </c>
      <c r="J278" s="10" t="s">
        <v>9</v>
      </c>
      <c r="K278" s="5">
        <v>46084.0</v>
      </c>
      <c r="L278" s="11" t="s">
        <v>784</v>
      </c>
      <c r="M278" s="7" t="str">
        <f>IFERROR(__xludf.DUMMYFUNCTION("TEXT(
  IF(RIGHT(A278,2)=""mo"",
    EDATE(DATEVALUE(K278), -VALUE(REGEXEXTRACT(A278,""\d+""))),
    DATEVALUE(K278) - IF(RIGHT(A278,1)=""h"", VALUE(REGEXEXTRACT(A278,""\d+""))/24,
         IF(RIGHT(A278,1)=""d"", VALUE(REGEXEXTRACT(A278,""\d+"")),
      "&amp;"   IF(RIGHT(A278,1)=""w"", VALUE(REGEXEXTRACT(A278,""\d+""))*7,
         0)))
  )
, ""YYYY-M-D"")"),"2026-2-3")</f>
        <v>2026-2-3</v>
      </c>
    </row>
    <row r="279">
      <c r="A279" s="10" t="s">
        <v>379</v>
      </c>
      <c r="B279" s="10" t="s">
        <v>973</v>
      </c>
      <c r="C279" s="10" t="s">
        <v>15</v>
      </c>
      <c r="D279" s="10" t="s">
        <v>16</v>
      </c>
      <c r="E279" s="10" t="s">
        <v>17</v>
      </c>
      <c r="F279" s="10" t="s">
        <v>974</v>
      </c>
      <c r="G279" s="10" t="s">
        <v>975</v>
      </c>
      <c r="H279" s="10" t="s">
        <v>976</v>
      </c>
      <c r="I279" s="10" t="s">
        <v>977</v>
      </c>
      <c r="J279" s="10" t="s">
        <v>9</v>
      </c>
      <c r="K279" s="5">
        <v>46084.0</v>
      </c>
      <c r="L279" s="11" t="s">
        <v>784</v>
      </c>
      <c r="M279" s="7" t="str">
        <f>IFERROR(__xludf.DUMMYFUNCTION("TEXT(
  IF(RIGHT(A279,2)=""mo"",
    EDATE(DATEVALUE(K279), -VALUE(REGEXEXTRACT(A279,""\d+""))),
    DATEVALUE(K279) - IF(RIGHT(A279,1)=""h"", VALUE(REGEXEXTRACT(A279,""\d+""))/24,
         IF(RIGHT(A279,1)=""d"", VALUE(REGEXEXTRACT(A279,""\d+"")),
      "&amp;"   IF(RIGHT(A279,1)=""w"", VALUE(REGEXEXTRACT(A279,""\d+""))*7,
         0)))
  )
, ""YYYY-M-D"")"),"2026-2-3")</f>
        <v>2026-2-3</v>
      </c>
    </row>
    <row r="280">
      <c r="A280" s="10" t="s">
        <v>173</v>
      </c>
      <c r="B280" s="10" t="s">
        <v>978</v>
      </c>
      <c r="C280" s="10" t="s">
        <v>979</v>
      </c>
      <c r="D280" s="10" t="s">
        <v>37</v>
      </c>
      <c r="E280" s="10" t="s">
        <v>17</v>
      </c>
      <c r="F280" s="10" t="s">
        <v>980</v>
      </c>
      <c r="G280" s="10" t="s">
        <v>981</v>
      </c>
      <c r="H280" s="10" t="s">
        <v>982</v>
      </c>
      <c r="I280" s="10" t="s">
        <v>983</v>
      </c>
      <c r="J280" s="10" t="s">
        <v>9</v>
      </c>
      <c r="K280" s="5">
        <v>46084.0</v>
      </c>
      <c r="L280" s="11" t="s">
        <v>784</v>
      </c>
      <c r="M280" s="7" t="str">
        <f>IFERROR(__xludf.DUMMYFUNCTION("TEXT(
  IF(RIGHT(A280,2)=""mo"",
    EDATE(DATEVALUE(K280), -VALUE(REGEXEXTRACT(A280,""\d+""))),
    DATEVALUE(K280) - IF(RIGHT(A280,1)=""h"", VALUE(REGEXEXTRACT(A280,""\d+""))/24,
         IF(RIGHT(A280,1)=""d"", VALUE(REGEXEXTRACT(A280,""\d+"")),
      "&amp;"   IF(RIGHT(A280,1)=""w"", VALUE(REGEXEXTRACT(A280,""\d+""))*7,
         0)))
  )
, ""YYYY-M-D"")"),"2026-2-24")</f>
        <v>2026-2-24</v>
      </c>
    </row>
    <row r="281">
      <c r="A281" s="10" t="s">
        <v>370</v>
      </c>
      <c r="B281" s="10" t="s">
        <v>371</v>
      </c>
      <c r="C281" s="10" t="s">
        <v>15</v>
      </c>
      <c r="D281" s="10" t="s">
        <v>16</v>
      </c>
      <c r="E281" s="10" t="s">
        <v>17</v>
      </c>
      <c r="F281" s="10" t="s">
        <v>372</v>
      </c>
      <c r="G281" s="10" t="s">
        <v>984</v>
      </c>
      <c r="H281" s="10" t="s">
        <v>374</v>
      </c>
      <c r="I281" s="10" t="s">
        <v>375</v>
      </c>
      <c r="J281" s="10" t="s">
        <v>9</v>
      </c>
      <c r="K281" s="5">
        <v>46084.0</v>
      </c>
      <c r="L281" s="11" t="s">
        <v>784</v>
      </c>
      <c r="M281" s="7" t="str">
        <f>IFERROR(__xludf.DUMMYFUNCTION("TEXT(
  IF(RIGHT(A281,2)=""mo"",
    EDATE(DATEVALUE(K281), -VALUE(REGEXEXTRACT(A281,""\d+""))),
    DATEVALUE(K281) - IF(RIGHT(A281,1)=""h"", VALUE(REGEXEXTRACT(A281,""\d+""))/24,
         IF(RIGHT(A281,1)=""d"", VALUE(REGEXEXTRACT(A281,""\d+"")),
      "&amp;"   IF(RIGHT(A281,1)=""w"", VALUE(REGEXEXTRACT(A281,""\d+""))*7,
         0)))
  )
, ""YYYY-M-D"")"),"2026-2-3")</f>
        <v>2026-2-3</v>
      </c>
    </row>
    <row r="282">
      <c r="A282" s="10" t="s">
        <v>379</v>
      </c>
      <c r="B282" s="10" t="s">
        <v>576</v>
      </c>
      <c r="C282" s="10" t="s">
        <v>15</v>
      </c>
      <c r="D282" s="10" t="s">
        <v>16</v>
      </c>
      <c r="E282" s="10" t="s">
        <v>17</v>
      </c>
      <c r="F282" s="10" t="s">
        <v>577</v>
      </c>
      <c r="G282" s="10" t="s">
        <v>985</v>
      </c>
      <c r="H282" s="10" t="s">
        <v>579</v>
      </c>
      <c r="I282" s="10" t="s">
        <v>580</v>
      </c>
      <c r="J282" s="10" t="s">
        <v>9</v>
      </c>
      <c r="K282" s="5">
        <v>46084.0</v>
      </c>
      <c r="L282" s="11" t="s">
        <v>784</v>
      </c>
      <c r="M282" s="7" t="str">
        <f>IFERROR(__xludf.DUMMYFUNCTION("TEXT(
  IF(RIGHT(A282,2)=""mo"",
    EDATE(DATEVALUE(K282), -VALUE(REGEXEXTRACT(A282,""\d+""))),
    DATEVALUE(K282) - IF(RIGHT(A282,1)=""h"", VALUE(REGEXEXTRACT(A282,""\d+""))/24,
         IF(RIGHT(A282,1)=""d"", VALUE(REGEXEXTRACT(A282,""\d+"")),
      "&amp;"   IF(RIGHT(A282,1)=""w"", VALUE(REGEXEXTRACT(A282,""\d+""))*7,
         0)))
  )
, ""YYYY-M-D"")"),"2026-2-3")</f>
        <v>2026-2-3</v>
      </c>
    </row>
    <row r="283">
      <c r="A283" s="10" t="s">
        <v>123</v>
      </c>
      <c r="B283" s="10" t="s">
        <v>72</v>
      </c>
      <c r="C283" s="10" t="s">
        <v>15</v>
      </c>
      <c r="D283" s="10" t="s">
        <v>16</v>
      </c>
      <c r="E283" s="10" t="s">
        <v>17</v>
      </c>
      <c r="F283" s="10" t="s">
        <v>73</v>
      </c>
      <c r="G283" s="10" t="s">
        <v>986</v>
      </c>
      <c r="H283" s="10" t="s">
        <v>75</v>
      </c>
      <c r="I283" s="10" t="s">
        <v>21</v>
      </c>
      <c r="J283" s="10" t="s">
        <v>9</v>
      </c>
      <c r="K283" s="5">
        <v>46084.0</v>
      </c>
      <c r="L283" s="11" t="s">
        <v>784</v>
      </c>
      <c r="M283" s="7" t="str">
        <f>IFERROR(__xludf.DUMMYFUNCTION("TEXT(
  IF(RIGHT(A283,2)=""mo"",
    EDATE(DATEVALUE(K283), -VALUE(REGEXEXTRACT(A283,""\d+""))),
    DATEVALUE(K283) - IF(RIGHT(A283,1)=""h"", VALUE(REGEXEXTRACT(A283,""\d+""))/24,
         IF(RIGHT(A283,1)=""d"", VALUE(REGEXEXTRACT(A283,""\d+"")),
      "&amp;"   IF(RIGHT(A283,1)=""w"", VALUE(REGEXEXTRACT(A283,""\d+""))*7,
         0)))
  )
, ""YYYY-M-D"")"),"2026-2-26")</f>
        <v>2026-2-26</v>
      </c>
    </row>
    <row r="284">
      <c r="A284" s="10" t="s">
        <v>581</v>
      </c>
      <c r="B284" s="10" t="s">
        <v>664</v>
      </c>
      <c r="C284" s="10" t="s">
        <v>15</v>
      </c>
      <c r="D284" s="10" t="s">
        <v>37</v>
      </c>
      <c r="E284" s="10" t="s">
        <v>17</v>
      </c>
      <c r="F284" s="10" t="s">
        <v>665</v>
      </c>
      <c r="G284" s="10" t="s">
        <v>987</v>
      </c>
      <c r="H284" s="10" t="s">
        <v>667</v>
      </c>
      <c r="I284" s="10" t="s">
        <v>668</v>
      </c>
      <c r="J284" s="10" t="s">
        <v>9</v>
      </c>
      <c r="K284" s="5">
        <v>46084.0</v>
      </c>
      <c r="L284" s="11" t="s">
        <v>784</v>
      </c>
      <c r="M284" s="7" t="str">
        <f>IFERROR(__xludf.DUMMYFUNCTION("TEXT(
  IF(RIGHT(A284,2)=""mo"",
    EDATE(DATEVALUE(K284), -VALUE(REGEXEXTRACT(A284,""\d+""))),
    DATEVALUE(K284) - IF(RIGHT(A284,1)=""h"", VALUE(REGEXEXTRACT(A284,""\d+""))/24,
         IF(RIGHT(A284,1)=""d"", VALUE(REGEXEXTRACT(A284,""\d+"")),
      "&amp;"   IF(RIGHT(A284,1)=""w"", VALUE(REGEXEXTRACT(A284,""\d+""))*7,
         0)))
  )
, ""YYYY-M-D"")"),"2026-1-3")</f>
        <v>2026-1-3</v>
      </c>
    </row>
    <row r="285">
      <c r="A285" s="10" t="s">
        <v>379</v>
      </c>
      <c r="B285" s="10" t="s">
        <v>437</v>
      </c>
      <c r="C285" s="10" t="s">
        <v>438</v>
      </c>
      <c r="D285" s="10" t="s">
        <v>16</v>
      </c>
      <c r="E285" s="10" t="s">
        <v>17</v>
      </c>
      <c r="F285" s="10" t="s">
        <v>439</v>
      </c>
      <c r="G285" s="10" t="s">
        <v>988</v>
      </c>
      <c r="H285" s="10" t="s">
        <v>441</v>
      </c>
      <c r="I285" s="10" t="s">
        <v>442</v>
      </c>
      <c r="J285" s="10" t="s">
        <v>9</v>
      </c>
      <c r="K285" s="5">
        <v>46084.0</v>
      </c>
      <c r="L285" s="11" t="s">
        <v>784</v>
      </c>
      <c r="M285" s="7" t="str">
        <f>IFERROR(__xludf.DUMMYFUNCTION("TEXT(
  IF(RIGHT(A285,2)=""mo"",
    EDATE(DATEVALUE(K285), -VALUE(REGEXEXTRACT(A285,""\d+""))),
    DATEVALUE(K285) - IF(RIGHT(A285,1)=""h"", VALUE(REGEXEXTRACT(A285,""\d+""))/24,
         IF(RIGHT(A285,1)=""d"", VALUE(REGEXEXTRACT(A285,""\d+"")),
      "&amp;"   IF(RIGHT(A285,1)=""w"", VALUE(REGEXEXTRACT(A285,""\d+""))*7,
         0)))
  )
, ""YYYY-M-D"")"),"2026-2-3")</f>
        <v>2026-2-3</v>
      </c>
    </row>
    <row r="286">
      <c r="A286" s="10" t="s">
        <v>581</v>
      </c>
      <c r="B286" s="10" t="s">
        <v>651</v>
      </c>
      <c r="C286" s="10" t="s">
        <v>15</v>
      </c>
      <c r="D286" s="10" t="s">
        <v>16</v>
      </c>
      <c r="E286" s="10" t="s">
        <v>17</v>
      </c>
      <c r="F286" s="10" t="s">
        <v>652</v>
      </c>
      <c r="G286" s="10" t="s">
        <v>989</v>
      </c>
      <c r="H286" s="10" t="s">
        <v>654</v>
      </c>
      <c r="I286" s="10" t="s">
        <v>21</v>
      </c>
      <c r="J286" s="10" t="s">
        <v>9</v>
      </c>
      <c r="K286" s="5">
        <v>46084.0</v>
      </c>
      <c r="L286" s="11" t="s">
        <v>784</v>
      </c>
      <c r="M286" s="7" t="str">
        <f>IFERROR(__xludf.DUMMYFUNCTION("TEXT(
  IF(RIGHT(A286,2)=""mo"",
    EDATE(DATEVALUE(K286), -VALUE(REGEXEXTRACT(A286,""\d+""))),
    DATEVALUE(K286) - IF(RIGHT(A286,1)=""h"", VALUE(REGEXEXTRACT(A286,""\d+""))/24,
         IF(RIGHT(A286,1)=""d"", VALUE(REGEXEXTRACT(A286,""\d+"")),
      "&amp;"   IF(RIGHT(A286,1)=""w"", VALUE(REGEXEXTRACT(A286,""\d+""))*7,
         0)))
  )
, ""YYYY-M-D"")"),"2026-1-3")</f>
        <v>2026-1-3</v>
      </c>
    </row>
    <row r="287">
      <c r="A287" s="10" t="s">
        <v>990</v>
      </c>
      <c r="B287" s="10" t="s">
        <v>991</v>
      </c>
      <c r="C287" s="10" t="s">
        <v>15</v>
      </c>
      <c r="D287" s="10" t="s">
        <v>44</v>
      </c>
      <c r="E287" s="10" t="s">
        <v>17</v>
      </c>
      <c r="F287" s="10" t="s">
        <v>992</v>
      </c>
      <c r="G287" s="10" t="s">
        <v>993</v>
      </c>
      <c r="H287" s="10" t="s">
        <v>994</v>
      </c>
      <c r="I287" s="10" t="s">
        <v>995</v>
      </c>
      <c r="J287" s="10" t="s">
        <v>9</v>
      </c>
      <c r="K287" s="5">
        <v>46084.0</v>
      </c>
      <c r="L287" s="11" t="s">
        <v>784</v>
      </c>
      <c r="M287" s="7" t="str">
        <f>IFERROR(__xludf.DUMMYFUNCTION("TEXT(
  IF(RIGHT(A287,2)=""mo"",
    EDATE(DATEVALUE(K287), -VALUE(REGEXEXTRACT(A287,""\d+""))),
    DATEVALUE(K287) - IF(RIGHT(A287,1)=""h"", VALUE(REGEXEXTRACT(A287,""\d+""))/24,
         IF(RIGHT(A287,1)=""d"", VALUE(REGEXEXTRACT(A287,""\d+"")),
      "&amp;"   IF(RIGHT(A287,1)=""w"", VALUE(REGEXEXTRACT(A287,""\d+""))*7,
         0)))
  )
, ""YYYY-M-D"")"),"2026-3-2")</f>
        <v>2026-3-2</v>
      </c>
    </row>
    <row r="288">
      <c r="A288" s="10" t="s">
        <v>173</v>
      </c>
      <c r="B288" s="10" t="s">
        <v>203</v>
      </c>
      <c r="C288" s="10" t="s">
        <v>15</v>
      </c>
      <c r="D288" s="10" t="s">
        <v>44</v>
      </c>
      <c r="E288" s="10" t="s">
        <v>17</v>
      </c>
      <c r="F288" s="10" t="s">
        <v>204</v>
      </c>
      <c r="G288" s="10" t="s">
        <v>205</v>
      </c>
      <c r="H288" s="10" t="s">
        <v>206</v>
      </c>
      <c r="I288" s="10" t="s">
        <v>207</v>
      </c>
      <c r="J288" s="10" t="s">
        <v>9</v>
      </c>
      <c r="K288" s="5">
        <v>46084.0</v>
      </c>
      <c r="L288" s="11" t="s">
        <v>784</v>
      </c>
      <c r="M288" s="7" t="str">
        <f>IFERROR(__xludf.DUMMYFUNCTION("TEXT(
  IF(RIGHT(A288,2)=""mo"",
    EDATE(DATEVALUE(K288), -VALUE(REGEXEXTRACT(A288,""\d+""))),
    DATEVALUE(K288) - IF(RIGHT(A288,1)=""h"", VALUE(REGEXEXTRACT(A288,""\d+""))/24,
         IF(RIGHT(A288,1)=""d"", VALUE(REGEXEXTRACT(A288,""\d+"")),
      "&amp;"   IF(RIGHT(A288,1)=""w"", VALUE(REGEXEXTRACT(A288,""\d+""))*7,
         0)))
  )
, ""YYYY-M-D"")"),"2026-2-24")</f>
        <v>2026-2-24</v>
      </c>
    </row>
    <row r="289">
      <c r="A289" s="10" t="s">
        <v>379</v>
      </c>
      <c r="B289" s="10" t="s">
        <v>531</v>
      </c>
      <c r="C289" s="10" t="s">
        <v>15</v>
      </c>
      <c r="D289" s="10" t="s">
        <v>16</v>
      </c>
      <c r="E289" s="10" t="s">
        <v>17</v>
      </c>
      <c r="F289" s="10" t="s">
        <v>532</v>
      </c>
      <c r="G289" s="10" t="s">
        <v>533</v>
      </c>
      <c r="H289" s="10" t="s">
        <v>534</v>
      </c>
      <c r="I289" s="10" t="s">
        <v>535</v>
      </c>
      <c r="J289" s="10" t="s">
        <v>9</v>
      </c>
      <c r="K289" s="5">
        <v>46084.0</v>
      </c>
      <c r="L289" s="11" t="s">
        <v>784</v>
      </c>
      <c r="M289" s="7" t="str">
        <f>IFERROR(__xludf.DUMMYFUNCTION("TEXT(
  IF(RIGHT(A289,2)=""mo"",
    EDATE(DATEVALUE(K289), -VALUE(REGEXEXTRACT(A289,""\d+""))),
    DATEVALUE(K289) - IF(RIGHT(A289,1)=""h"", VALUE(REGEXEXTRACT(A289,""\d+""))/24,
         IF(RIGHT(A289,1)=""d"", VALUE(REGEXEXTRACT(A289,""\d+"")),
      "&amp;"   IF(RIGHT(A289,1)=""w"", VALUE(REGEXEXTRACT(A289,""\d+""))*7,
         0)))
  )
, ""YYYY-M-D"")"),"2026-2-3")</f>
        <v>2026-2-3</v>
      </c>
    </row>
    <row r="290">
      <c r="A290" s="10" t="s">
        <v>239</v>
      </c>
      <c r="B290" s="10" t="s">
        <v>240</v>
      </c>
      <c r="C290" s="10" t="s">
        <v>15</v>
      </c>
      <c r="D290" s="10" t="s">
        <v>44</v>
      </c>
      <c r="E290" s="10" t="s">
        <v>17</v>
      </c>
      <c r="F290" s="10" t="s">
        <v>251</v>
      </c>
      <c r="G290" s="10" t="s">
        <v>252</v>
      </c>
      <c r="H290" s="10" t="s">
        <v>253</v>
      </c>
      <c r="I290" s="10" t="s">
        <v>254</v>
      </c>
      <c r="J290" s="10" t="s">
        <v>9</v>
      </c>
      <c r="K290" s="5">
        <v>46084.0</v>
      </c>
      <c r="L290" s="11" t="s">
        <v>784</v>
      </c>
      <c r="M290" s="7" t="str">
        <f>IFERROR(__xludf.DUMMYFUNCTION("TEXT(
  IF(RIGHT(A290,2)=""mo"",
    EDATE(DATEVALUE(K290), -VALUE(REGEXEXTRACT(A290,""\d+""))),
    DATEVALUE(K290) - IF(RIGHT(A290,1)=""h"", VALUE(REGEXEXTRACT(A290,""\d+""))/24,
         IF(RIGHT(A290,1)=""d"", VALUE(REGEXEXTRACT(A290,""\d+"")),
      "&amp;"   IF(RIGHT(A290,1)=""w"", VALUE(REGEXEXTRACT(A290,""\d+""))*7,
         0)))
  )
, ""YYYY-M-D"")"),"2026-2-17")</f>
        <v>2026-2-17</v>
      </c>
    </row>
    <row r="291">
      <c r="A291" s="10" t="s">
        <v>379</v>
      </c>
      <c r="B291" s="10" t="s">
        <v>541</v>
      </c>
      <c r="C291" s="10" t="s">
        <v>15</v>
      </c>
      <c r="D291" s="10" t="s">
        <v>44</v>
      </c>
      <c r="E291" s="10" t="s">
        <v>17</v>
      </c>
      <c r="F291" s="10" t="s">
        <v>542</v>
      </c>
      <c r="G291" s="10" t="s">
        <v>996</v>
      </c>
      <c r="H291" s="10" t="s">
        <v>544</v>
      </c>
      <c r="I291" s="10" t="s">
        <v>545</v>
      </c>
      <c r="J291" s="10" t="s">
        <v>9</v>
      </c>
      <c r="K291" s="5">
        <v>46084.0</v>
      </c>
      <c r="L291" s="11" t="s">
        <v>784</v>
      </c>
      <c r="M291" s="7" t="str">
        <f>IFERROR(__xludf.DUMMYFUNCTION("TEXT(
  IF(RIGHT(A291,2)=""mo"",
    EDATE(DATEVALUE(K291), -VALUE(REGEXEXTRACT(A291,""\d+""))),
    DATEVALUE(K291) - IF(RIGHT(A291,1)=""h"", VALUE(REGEXEXTRACT(A291,""\d+""))/24,
         IF(RIGHT(A291,1)=""d"", VALUE(REGEXEXTRACT(A291,""\d+"")),
      "&amp;"   IF(RIGHT(A291,1)=""w"", VALUE(REGEXEXTRACT(A291,""\d+""))*7,
         0)))
  )
, ""YYYY-M-D"")"),"2026-2-3")</f>
        <v>2026-2-3</v>
      </c>
    </row>
    <row r="292">
      <c r="A292" s="10" t="s">
        <v>379</v>
      </c>
      <c r="B292" s="10" t="s">
        <v>997</v>
      </c>
      <c r="C292" s="10" t="s">
        <v>15</v>
      </c>
      <c r="D292" s="10" t="s">
        <v>16</v>
      </c>
      <c r="E292" s="10" t="s">
        <v>913</v>
      </c>
      <c r="F292" s="10" t="s">
        <v>625</v>
      </c>
      <c r="G292" s="10" t="s">
        <v>626</v>
      </c>
      <c r="H292" s="10" t="s">
        <v>998</v>
      </c>
      <c r="I292" s="10" t="s">
        <v>999</v>
      </c>
      <c r="J292" s="10" t="s">
        <v>9</v>
      </c>
      <c r="K292" s="5">
        <v>46084.0</v>
      </c>
      <c r="L292" s="11" t="s">
        <v>784</v>
      </c>
      <c r="M292" s="7" t="str">
        <f>IFERROR(__xludf.DUMMYFUNCTION("TEXT(
  IF(RIGHT(A292,2)=""mo"",
    EDATE(DATEVALUE(K292), -VALUE(REGEXEXTRACT(A292,""\d+""))),
    DATEVALUE(K292) - IF(RIGHT(A292,1)=""h"", VALUE(REGEXEXTRACT(A292,""\d+""))/24,
         IF(RIGHT(A292,1)=""d"", VALUE(REGEXEXTRACT(A292,""\d+"")),
      "&amp;"   IF(RIGHT(A292,1)=""w"", VALUE(REGEXEXTRACT(A292,""\d+""))*7,
         0)))
  )
, ""YYYY-M-D"")"),"2026-2-3")</f>
        <v>2026-2-3</v>
      </c>
    </row>
    <row r="293">
      <c r="A293" s="10" t="s">
        <v>28</v>
      </c>
      <c r="B293" s="10" t="s">
        <v>24</v>
      </c>
      <c r="C293" s="10" t="s">
        <v>15</v>
      </c>
      <c r="D293" s="10" t="s">
        <v>16</v>
      </c>
      <c r="E293" s="10" t="s">
        <v>17</v>
      </c>
      <c r="F293" s="10" t="s">
        <v>25</v>
      </c>
      <c r="G293" s="10" t="s">
        <v>26</v>
      </c>
      <c r="H293" s="10" t="s">
        <v>27</v>
      </c>
      <c r="I293" s="10" t="s">
        <v>21</v>
      </c>
      <c r="J293" s="10" t="s">
        <v>9</v>
      </c>
      <c r="K293" s="5">
        <v>46084.0</v>
      </c>
      <c r="L293" s="11" t="s">
        <v>784</v>
      </c>
      <c r="M293" s="7" t="str">
        <f>IFERROR(__xludf.DUMMYFUNCTION("TEXT(
  IF(RIGHT(A293,2)=""mo"",
    EDATE(DATEVALUE(K293), -VALUE(REGEXEXTRACT(A293,""\d+""))),
    DATEVALUE(K293) - IF(RIGHT(A293,1)=""h"", VALUE(REGEXEXTRACT(A293,""\d+""))/24,
         IF(RIGHT(A293,1)=""d"", VALUE(REGEXEXTRACT(A293,""\d+"")),
      "&amp;"   IF(RIGHT(A293,1)=""w"", VALUE(REGEXEXTRACT(A293,""\d+""))*7,
         0)))
  )
, ""YYYY-M-D"")"),"2026-3-1")</f>
        <v>2026-3-1</v>
      </c>
    </row>
    <row r="294">
      <c r="A294" s="10" t="s">
        <v>379</v>
      </c>
      <c r="B294" s="10" t="s">
        <v>557</v>
      </c>
      <c r="C294" s="10" t="s">
        <v>15</v>
      </c>
      <c r="D294" s="10" t="s">
        <v>16</v>
      </c>
      <c r="E294" s="10" t="s">
        <v>17</v>
      </c>
      <c r="F294" s="10" t="s">
        <v>558</v>
      </c>
      <c r="G294" s="10" t="s">
        <v>559</v>
      </c>
      <c r="H294" s="10" t="s">
        <v>560</v>
      </c>
      <c r="I294" s="10" t="s">
        <v>561</v>
      </c>
      <c r="J294" s="10" t="s">
        <v>9</v>
      </c>
      <c r="K294" s="5">
        <v>46084.0</v>
      </c>
      <c r="L294" s="11" t="s">
        <v>784</v>
      </c>
      <c r="M294" s="7" t="str">
        <f>IFERROR(__xludf.DUMMYFUNCTION("TEXT(
  IF(RIGHT(A294,2)=""mo"",
    EDATE(DATEVALUE(K294), -VALUE(REGEXEXTRACT(A294,""\d+""))),
    DATEVALUE(K294) - IF(RIGHT(A294,1)=""h"", VALUE(REGEXEXTRACT(A294,""\d+""))/24,
         IF(RIGHT(A294,1)=""d"", VALUE(REGEXEXTRACT(A294,""\d+"")),
      "&amp;"   IF(RIGHT(A294,1)=""w"", VALUE(REGEXEXTRACT(A294,""\d+""))*7,
         0)))
  )
, ""YYYY-M-D"")"),"2026-2-3")</f>
        <v>2026-2-3</v>
      </c>
    </row>
    <row r="295">
      <c r="A295" s="10" t="s">
        <v>173</v>
      </c>
      <c r="B295" s="10" t="s">
        <v>185</v>
      </c>
      <c r="C295" s="10" t="s">
        <v>15</v>
      </c>
      <c r="D295" s="10" t="s">
        <v>37</v>
      </c>
      <c r="E295" s="10" t="s">
        <v>17</v>
      </c>
      <c r="F295" s="10" t="s">
        <v>186</v>
      </c>
      <c r="G295" s="10" t="s">
        <v>187</v>
      </c>
      <c r="H295" s="10" t="s">
        <v>188</v>
      </c>
      <c r="I295" s="10" t="s">
        <v>189</v>
      </c>
      <c r="J295" s="10" t="s">
        <v>9</v>
      </c>
      <c r="K295" s="5">
        <v>46084.0</v>
      </c>
      <c r="L295" s="11" t="s">
        <v>784</v>
      </c>
      <c r="M295" s="7" t="str">
        <f>IFERROR(__xludf.DUMMYFUNCTION("TEXT(
  IF(RIGHT(A295,2)=""mo"",
    EDATE(DATEVALUE(K295), -VALUE(REGEXEXTRACT(A295,""\d+""))),
    DATEVALUE(K295) - IF(RIGHT(A295,1)=""h"", VALUE(REGEXEXTRACT(A295,""\d+""))/24,
         IF(RIGHT(A295,1)=""d"", VALUE(REGEXEXTRACT(A295,""\d+"")),
      "&amp;"   IF(RIGHT(A295,1)=""w"", VALUE(REGEXEXTRACT(A295,""\d+""))*7,
         0)))
  )
, ""YYYY-M-D"")"),"2026-2-24")</f>
        <v>2026-2-24</v>
      </c>
    </row>
    <row r="296">
      <c r="A296" s="10" t="s">
        <v>379</v>
      </c>
      <c r="B296" s="10" t="s">
        <v>523</v>
      </c>
      <c r="C296" s="10" t="s">
        <v>15</v>
      </c>
      <c r="D296" s="10" t="s">
        <v>16</v>
      </c>
      <c r="E296" s="10" t="s">
        <v>17</v>
      </c>
      <c r="F296" s="10" t="s">
        <v>524</v>
      </c>
      <c r="G296" s="10" t="s">
        <v>525</v>
      </c>
      <c r="H296" s="10" t="s">
        <v>526</v>
      </c>
      <c r="I296" s="10" t="s">
        <v>527</v>
      </c>
      <c r="J296" s="10" t="s">
        <v>9</v>
      </c>
      <c r="K296" s="5">
        <v>46084.0</v>
      </c>
      <c r="L296" s="11" t="s">
        <v>784</v>
      </c>
      <c r="M296" s="7" t="str">
        <f>IFERROR(__xludf.DUMMYFUNCTION("TEXT(
  IF(RIGHT(A296,2)=""mo"",
    EDATE(DATEVALUE(K296), -VALUE(REGEXEXTRACT(A296,""\d+""))),
    DATEVALUE(K296) - IF(RIGHT(A296,1)=""h"", VALUE(REGEXEXTRACT(A296,""\d+""))/24,
         IF(RIGHT(A296,1)=""d"", VALUE(REGEXEXTRACT(A296,""\d+"")),
      "&amp;"   IF(RIGHT(A296,1)=""w"", VALUE(REGEXEXTRACT(A296,""\d+""))*7,
         0)))
  )
, ""YYYY-M-D"")"),"2026-2-3")</f>
        <v>2026-2-3</v>
      </c>
    </row>
    <row r="297">
      <c r="A297" s="10" t="s">
        <v>581</v>
      </c>
      <c r="B297" s="10" t="s">
        <v>598</v>
      </c>
      <c r="C297" s="10" t="s">
        <v>15</v>
      </c>
      <c r="D297" s="10" t="s">
        <v>44</v>
      </c>
      <c r="E297" s="10" t="s">
        <v>421</v>
      </c>
      <c r="F297" s="10" t="s">
        <v>599</v>
      </c>
      <c r="G297" s="10" t="s">
        <v>600</v>
      </c>
      <c r="H297" s="10" t="s">
        <v>601</v>
      </c>
      <c r="I297" s="10" t="s">
        <v>602</v>
      </c>
      <c r="J297" s="10" t="s">
        <v>9</v>
      </c>
      <c r="K297" s="5">
        <v>46084.0</v>
      </c>
      <c r="L297" s="11" t="s">
        <v>784</v>
      </c>
      <c r="M297" s="7" t="str">
        <f>IFERROR(__xludf.DUMMYFUNCTION("TEXT(
  IF(RIGHT(A297,2)=""mo"",
    EDATE(DATEVALUE(K297), -VALUE(REGEXEXTRACT(A297,""\d+""))),
    DATEVALUE(K297) - IF(RIGHT(A297,1)=""h"", VALUE(REGEXEXTRACT(A297,""\d+""))/24,
         IF(RIGHT(A297,1)=""d"", VALUE(REGEXEXTRACT(A297,""\d+"")),
      "&amp;"   IF(RIGHT(A297,1)=""w"", VALUE(REGEXEXTRACT(A297,""\d+""))*7,
         0)))
  )
, ""YYYY-M-D"")"),"2026-1-3")</f>
        <v>2026-1-3</v>
      </c>
    </row>
    <row r="298">
      <c r="A298" s="10" t="s">
        <v>379</v>
      </c>
      <c r="B298" s="10" t="s">
        <v>1000</v>
      </c>
      <c r="C298" s="10" t="s">
        <v>15</v>
      </c>
      <c r="D298" s="10" t="s">
        <v>44</v>
      </c>
      <c r="E298" s="10" t="s">
        <v>17</v>
      </c>
      <c r="F298" s="10" t="s">
        <v>1001</v>
      </c>
      <c r="G298" s="10" t="s">
        <v>1002</v>
      </c>
      <c r="H298" s="10" t="s">
        <v>1003</v>
      </c>
      <c r="I298" s="10" t="s">
        <v>1004</v>
      </c>
      <c r="J298" s="10" t="s">
        <v>9</v>
      </c>
      <c r="K298" s="5">
        <v>46084.0</v>
      </c>
      <c r="L298" s="11" t="s">
        <v>784</v>
      </c>
      <c r="M298" s="7" t="str">
        <f>IFERROR(__xludf.DUMMYFUNCTION("TEXT(
  IF(RIGHT(A298,2)=""mo"",
    EDATE(DATEVALUE(K298), -VALUE(REGEXEXTRACT(A298,""\d+""))),
    DATEVALUE(K298) - IF(RIGHT(A298,1)=""h"", VALUE(REGEXEXTRACT(A298,""\d+""))/24,
         IF(RIGHT(A298,1)=""d"", VALUE(REGEXEXTRACT(A298,""\d+"")),
      "&amp;"   IF(RIGHT(A298,1)=""w"", VALUE(REGEXEXTRACT(A298,""\d+""))*7,
         0)))
  )
, ""YYYY-M-D"")"),"2026-2-3")</f>
        <v>2026-2-3</v>
      </c>
    </row>
    <row r="299">
      <c r="A299" s="10" t="s">
        <v>379</v>
      </c>
      <c r="B299" s="10" t="s">
        <v>1005</v>
      </c>
      <c r="C299" s="10" t="s">
        <v>15</v>
      </c>
      <c r="D299" s="10" t="s">
        <v>44</v>
      </c>
      <c r="E299" s="10" t="s">
        <v>17</v>
      </c>
      <c r="F299" s="10" t="s">
        <v>1006</v>
      </c>
      <c r="G299" s="10" t="s">
        <v>1007</v>
      </c>
      <c r="H299" s="10" t="s">
        <v>1008</v>
      </c>
      <c r="I299" s="10" t="s">
        <v>1009</v>
      </c>
      <c r="J299" s="10" t="s">
        <v>9</v>
      </c>
      <c r="K299" s="5">
        <v>46084.0</v>
      </c>
      <c r="L299" s="11" t="s">
        <v>784</v>
      </c>
      <c r="M299" s="7" t="str">
        <f>IFERROR(__xludf.DUMMYFUNCTION("TEXT(
  IF(RIGHT(A299,2)=""mo"",
    EDATE(DATEVALUE(K299), -VALUE(REGEXEXTRACT(A299,""\d+""))),
    DATEVALUE(K299) - IF(RIGHT(A299,1)=""h"", VALUE(REGEXEXTRACT(A299,""\d+""))/24,
         IF(RIGHT(A299,1)=""d"", VALUE(REGEXEXTRACT(A299,""\d+"")),
      "&amp;"   IF(RIGHT(A299,1)=""w"", VALUE(REGEXEXTRACT(A299,""\d+""))*7,
         0)))
  )
, ""YYYY-M-D"")"),"2026-2-3")</f>
        <v>2026-2-3</v>
      </c>
    </row>
    <row r="300">
      <c r="A300" s="10" t="s">
        <v>581</v>
      </c>
      <c r="B300" s="10" t="s">
        <v>1010</v>
      </c>
      <c r="C300" s="10" t="s">
        <v>15</v>
      </c>
      <c r="D300" s="10" t="s">
        <v>44</v>
      </c>
      <c r="E300" s="10" t="s">
        <v>17</v>
      </c>
      <c r="F300" s="10" t="s">
        <v>1011</v>
      </c>
      <c r="G300" s="10" t="s">
        <v>1012</v>
      </c>
      <c r="H300" s="10" t="s">
        <v>1013</v>
      </c>
      <c r="I300" s="10" t="s">
        <v>1014</v>
      </c>
      <c r="J300" s="10" t="s">
        <v>9</v>
      </c>
      <c r="K300" s="5">
        <v>46084.0</v>
      </c>
      <c r="L300" s="11" t="s">
        <v>784</v>
      </c>
      <c r="M300" s="7" t="str">
        <f>IFERROR(__xludf.DUMMYFUNCTION("TEXT(
  IF(RIGHT(A300,2)=""mo"",
    EDATE(DATEVALUE(K300), -VALUE(REGEXEXTRACT(A300,""\d+""))),
    DATEVALUE(K300) - IF(RIGHT(A300,1)=""h"", VALUE(REGEXEXTRACT(A300,""\d+""))/24,
         IF(RIGHT(A300,1)=""d"", VALUE(REGEXEXTRACT(A300,""\d+"")),
      "&amp;"   IF(RIGHT(A300,1)=""w"", VALUE(REGEXEXTRACT(A300,""\d+""))*7,
         0)))
  )
, ""YYYY-M-D"")"),"2026-1-3")</f>
        <v>2026-1-3</v>
      </c>
    </row>
    <row r="301">
      <c r="A301" s="10" t="s">
        <v>379</v>
      </c>
      <c r="B301" s="10" t="s">
        <v>1015</v>
      </c>
      <c r="C301" s="10" t="s">
        <v>268</v>
      </c>
      <c r="D301" s="10" t="s">
        <v>37</v>
      </c>
      <c r="E301" s="10" t="s">
        <v>17</v>
      </c>
      <c r="F301" s="10" t="s">
        <v>1016</v>
      </c>
      <c r="G301" s="10" t="s">
        <v>1017</v>
      </c>
      <c r="H301" s="10" t="s">
        <v>1018</v>
      </c>
      <c r="I301" s="10" t="s">
        <v>1019</v>
      </c>
      <c r="J301" s="10" t="s">
        <v>9</v>
      </c>
      <c r="K301" s="5">
        <v>46084.0</v>
      </c>
      <c r="L301" s="11" t="s">
        <v>784</v>
      </c>
      <c r="M301" s="7" t="str">
        <f>IFERROR(__xludf.DUMMYFUNCTION("TEXT(
  IF(RIGHT(A301,2)=""mo"",
    EDATE(DATEVALUE(K301), -VALUE(REGEXEXTRACT(A301,""\d+""))),
    DATEVALUE(K301) - IF(RIGHT(A301,1)=""h"", VALUE(REGEXEXTRACT(A301,""\d+""))/24,
         IF(RIGHT(A301,1)=""d"", VALUE(REGEXEXTRACT(A301,""\d+"")),
      "&amp;"   IF(RIGHT(A301,1)=""w"", VALUE(REGEXEXTRACT(A301,""\d+""))*7,
         0)))
  )
, ""YYYY-M-D"")"),"2026-2-3")</f>
        <v>2026-2-3</v>
      </c>
    </row>
    <row r="302">
      <c r="A302" s="10" t="s">
        <v>581</v>
      </c>
      <c r="B302" s="10" t="s">
        <v>1020</v>
      </c>
      <c r="C302" s="10" t="s">
        <v>1021</v>
      </c>
      <c r="D302" s="10" t="s">
        <v>37</v>
      </c>
      <c r="E302" s="10" t="s">
        <v>17</v>
      </c>
      <c r="F302" s="10" t="s">
        <v>493</v>
      </c>
      <c r="G302" s="10" t="s">
        <v>1022</v>
      </c>
      <c r="H302" s="10" t="s">
        <v>1023</v>
      </c>
      <c r="I302" s="10" t="s">
        <v>21</v>
      </c>
      <c r="J302" s="10" t="s">
        <v>9</v>
      </c>
      <c r="K302" s="5">
        <v>46084.0</v>
      </c>
      <c r="L302" s="11" t="s">
        <v>784</v>
      </c>
      <c r="M302" s="7" t="str">
        <f>IFERROR(__xludf.DUMMYFUNCTION("TEXT(
  IF(RIGHT(A302,2)=""mo"",
    EDATE(DATEVALUE(K302), -VALUE(REGEXEXTRACT(A302,""\d+""))),
    DATEVALUE(K302) - IF(RIGHT(A302,1)=""h"", VALUE(REGEXEXTRACT(A302,""\d+""))/24,
         IF(RIGHT(A302,1)=""d"", VALUE(REGEXEXTRACT(A302,""\d+"")),
      "&amp;"   IF(RIGHT(A302,1)=""w"", VALUE(REGEXEXTRACT(A302,""\d+""))*7,
         0)))
  )
, ""YYYY-M-D"")"),"2026-1-3")</f>
        <v>2026-1-3</v>
      </c>
    </row>
    <row r="303">
      <c r="A303" s="10" t="s">
        <v>239</v>
      </c>
      <c r="B303" s="10" t="s">
        <v>1024</v>
      </c>
      <c r="C303" s="10" t="s">
        <v>15</v>
      </c>
      <c r="D303" s="10" t="s">
        <v>16</v>
      </c>
      <c r="E303" s="10" t="s">
        <v>17</v>
      </c>
      <c r="F303" s="10" t="s">
        <v>1025</v>
      </c>
      <c r="G303" s="10" t="s">
        <v>1026</v>
      </c>
      <c r="H303" s="10" t="s">
        <v>1027</v>
      </c>
      <c r="I303" s="10" t="s">
        <v>1028</v>
      </c>
      <c r="J303" s="10" t="s">
        <v>9</v>
      </c>
      <c r="K303" s="5">
        <v>46084.0</v>
      </c>
      <c r="L303" s="11" t="s">
        <v>784</v>
      </c>
      <c r="M303" s="7" t="str">
        <f>IFERROR(__xludf.DUMMYFUNCTION("TEXT(
  IF(RIGHT(A303,2)=""mo"",
    EDATE(DATEVALUE(K303), -VALUE(REGEXEXTRACT(A303,""\d+""))),
    DATEVALUE(K303) - IF(RIGHT(A303,1)=""h"", VALUE(REGEXEXTRACT(A303,""\d+""))/24,
         IF(RIGHT(A303,1)=""d"", VALUE(REGEXEXTRACT(A303,""\d+"")),
      "&amp;"   IF(RIGHT(A303,1)=""w"", VALUE(REGEXEXTRACT(A303,""\d+""))*7,
         0)))
  )
, ""YYYY-M-D"")"),"2026-2-17")</f>
        <v>2026-2-17</v>
      </c>
    </row>
    <row r="304">
      <c r="A304" s="10" t="s">
        <v>581</v>
      </c>
      <c r="B304" s="10" t="s">
        <v>1029</v>
      </c>
      <c r="C304" s="10" t="s">
        <v>1030</v>
      </c>
      <c r="D304" s="10" t="s">
        <v>16</v>
      </c>
      <c r="E304" s="10" t="s">
        <v>17</v>
      </c>
      <c r="F304" s="10" t="s">
        <v>1031</v>
      </c>
      <c r="G304" s="10" t="s">
        <v>1032</v>
      </c>
      <c r="H304" s="10" t="s">
        <v>1033</v>
      </c>
      <c r="I304" s="10" t="s">
        <v>1034</v>
      </c>
      <c r="J304" s="10" t="s">
        <v>9</v>
      </c>
      <c r="K304" s="5">
        <v>46084.0</v>
      </c>
      <c r="L304" s="11" t="s">
        <v>784</v>
      </c>
      <c r="M304" s="7" t="str">
        <f>IFERROR(__xludf.DUMMYFUNCTION("TEXT(
  IF(RIGHT(A304,2)=""mo"",
    EDATE(DATEVALUE(K304), -VALUE(REGEXEXTRACT(A304,""\d+""))),
    DATEVALUE(K304) - IF(RIGHT(A304,1)=""h"", VALUE(REGEXEXTRACT(A304,""\d+""))/24,
         IF(RIGHT(A304,1)=""d"", VALUE(REGEXEXTRACT(A304,""\d+"")),
      "&amp;"   IF(RIGHT(A304,1)=""w"", VALUE(REGEXEXTRACT(A304,""\d+""))*7,
         0)))
  )
, ""YYYY-M-D"")"),"2026-1-3")</f>
        <v>2026-1-3</v>
      </c>
    </row>
    <row r="305">
      <c r="A305" s="10" t="s">
        <v>379</v>
      </c>
      <c r="B305" s="10" t="s">
        <v>1035</v>
      </c>
      <c r="C305" s="10" t="s">
        <v>15</v>
      </c>
      <c r="D305" s="10" t="s">
        <v>16</v>
      </c>
      <c r="E305" s="10" t="s">
        <v>17</v>
      </c>
      <c r="F305" s="10" t="s">
        <v>1025</v>
      </c>
      <c r="G305" s="10" t="s">
        <v>1036</v>
      </c>
      <c r="H305" s="10" t="s">
        <v>1037</v>
      </c>
      <c r="I305" s="10" t="s">
        <v>1038</v>
      </c>
      <c r="J305" s="10" t="s">
        <v>9</v>
      </c>
      <c r="K305" s="5">
        <v>46084.0</v>
      </c>
      <c r="L305" s="11" t="s">
        <v>784</v>
      </c>
      <c r="M305" s="7" t="str">
        <f>IFERROR(__xludf.DUMMYFUNCTION("TEXT(
  IF(RIGHT(A305,2)=""mo"",
    EDATE(DATEVALUE(K305), -VALUE(REGEXEXTRACT(A305,""\d+""))),
    DATEVALUE(K305) - IF(RIGHT(A305,1)=""h"", VALUE(REGEXEXTRACT(A305,""\d+""))/24,
         IF(RIGHT(A305,1)=""d"", VALUE(REGEXEXTRACT(A305,""\d+"")),
      "&amp;"   IF(RIGHT(A305,1)=""w"", VALUE(REGEXEXTRACT(A305,""\d+""))*7,
         0)))
  )
, ""YYYY-M-D"")"),"2026-2-3")</f>
        <v>2026-2-3</v>
      </c>
    </row>
    <row r="306">
      <c r="A306" s="10" t="s">
        <v>321</v>
      </c>
      <c r="B306" s="10" t="s">
        <v>1039</v>
      </c>
      <c r="C306" s="10" t="s">
        <v>15</v>
      </c>
      <c r="D306" s="10" t="s">
        <v>44</v>
      </c>
      <c r="E306" s="10" t="s">
        <v>17</v>
      </c>
      <c r="F306" s="10" t="s">
        <v>1040</v>
      </c>
      <c r="G306" s="10" t="s">
        <v>1041</v>
      </c>
      <c r="H306" s="10" t="s">
        <v>1042</v>
      </c>
      <c r="I306" s="10" t="s">
        <v>21</v>
      </c>
      <c r="J306" s="10" t="s">
        <v>9</v>
      </c>
      <c r="K306" s="5">
        <v>46084.0</v>
      </c>
      <c r="L306" s="11" t="s">
        <v>784</v>
      </c>
      <c r="M306" s="7" t="str">
        <f>IFERROR(__xludf.DUMMYFUNCTION("TEXT(
  IF(RIGHT(A306,2)=""mo"",
    EDATE(DATEVALUE(K306), -VALUE(REGEXEXTRACT(A306,""\d+""))),
    DATEVALUE(K306) - IF(RIGHT(A306,1)=""h"", VALUE(REGEXEXTRACT(A306,""\d+""))/24,
         IF(RIGHT(A306,1)=""d"", VALUE(REGEXEXTRACT(A306,""\d+"")),
      "&amp;"   IF(RIGHT(A306,1)=""w"", VALUE(REGEXEXTRACT(A306,""\d+""))*7,
         0)))
  )
, ""YYYY-M-D"")"),"2026-2-10")</f>
        <v>2026-2-10</v>
      </c>
    </row>
    <row r="307">
      <c r="A307" s="10" t="s">
        <v>123</v>
      </c>
      <c r="B307" s="10" t="s">
        <v>1043</v>
      </c>
      <c r="C307" s="10" t="s">
        <v>1044</v>
      </c>
      <c r="D307" s="10" t="s">
        <v>44</v>
      </c>
      <c r="E307" s="10" t="s">
        <v>17</v>
      </c>
      <c r="F307" s="10" t="s">
        <v>1045</v>
      </c>
      <c r="G307" s="10" t="s">
        <v>1046</v>
      </c>
      <c r="H307" s="10" t="s">
        <v>1047</v>
      </c>
      <c r="I307" s="10" t="s">
        <v>1048</v>
      </c>
      <c r="J307" s="10" t="s">
        <v>9</v>
      </c>
      <c r="K307" s="5">
        <v>46084.0</v>
      </c>
      <c r="L307" s="11" t="s">
        <v>784</v>
      </c>
      <c r="M307" s="7" t="str">
        <f>IFERROR(__xludf.DUMMYFUNCTION("TEXT(
  IF(RIGHT(A307,2)=""mo"",
    EDATE(DATEVALUE(K307), -VALUE(REGEXEXTRACT(A307,""\d+""))),
    DATEVALUE(K307) - IF(RIGHT(A307,1)=""h"", VALUE(REGEXEXTRACT(A307,""\d+""))/24,
         IF(RIGHT(A307,1)=""d"", VALUE(REGEXEXTRACT(A307,""\d+"")),
      "&amp;"   IF(RIGHT(A307,1)=""w"", VALUE(REGEXEXTRACT(A307,""\d+""))*7,
         0)))
  )
, ""YYYY-M-D"")"),"2026-2-26")</f>
        <v>2026-2-26</v>
      </c>
    </row>
    <row r="308">
      <c r="A308" s="10" t="s">
        <v>1049</v>
      </c>
      <c r="B308" s="10" t="s">
        <v>1050</v>
      </c>
      <c r="C308" s="10" t="s">
        <v>15</v>
      </c>
      <c r="D308" s="10" t="s">
        <v>44</v>
      </c>
      <c r="E308" s="10" t="s">
        <v>17</v>
      </c>
      <c r="F308" s="10" t="s">
        <v>1051</v>
      </c>
      <c r="G308" s="10" t="s">
        <v>1052</v>
      </c>
      <c r="H308" s="10" t="s">
        <v>1053</v>
      </c>
      <c r="I308" s="10" t="s">
        <v>1054</v>
      </c>
      <c r="J308" s="10" t="s">
        <v>9</v>
      </c>
      <c r="K308" s="5">
        <v>46084.0</v>
      </c>
      <c r="L308" s="11" t="s">
        <v>784</v>
      </c>
      <c r="M308" s="7" t="str">
        <f>IFERROR(__xludf.DUMMYFUNCTION("TEXT(
  IF(RIGHT(A308,2)=""mo"",
    EDATE(DATEVALUE(K308), -VALUE(REGEXEXTRACT(A308,""\d+""))),
    DATEVALUE(K308) - IF(RIGHT(A308,1)=""h"", VALUE(REGEXEXTRACT(A308,""\d+""))/24,
         IF(RIGHT(A308,1)=""d"", VALUE(REGEXEXTRACT(A308,""\d+"")),
      "&amp;"   IF(RIGHT(A308,1)=""w"", VALUE(REGEXEXTRACT(A308,""\d+""))*7,
         0)))
  )
, ""YYYY-M-D"")"),"2026-3-2")</f>
        <v>2026-3-2</v>
      </c>
    </row>
    <row r="309">
      <c r="A309" s="10" t="s">
        <v>379</v>
      </c>
      <c r="B309" s="10" t="s">
        <v>1055</v>
      </c>
      <c r="C309" s="10" t="s">
        <v>15</v>
      </c>
      <c r="D309" s="10" t="s">
        <v>16</v>
      </c>
      <c r="E309" s="10" t="s">
        <v>17</v>
      </c>
      <c r="F309" s="10" t="s">
        <v>1056</v>
      </c>
      <c r="G309" s="10" t="s">
        <v>1057</v>
      </c>
      <c r="H309" s="10" t="s">
        <v>1058</v>
      </c>
      <c r="I309" s="10" t="s">
        <v>1059</v>
      </c>
      <c r="J309" s="10" t="s">
        <v>9</v>
      </c>
      <c r="K309" s="5">
        <v>46084.0</v>
      </c>
      <c r="L309" s="11" t="s">
        <v>784</v>
      </c>
      <c r="M309" s="7" t="str">
        <f>IFERROR(__xludf.DUMMYFUNCTION("TEXT(
  IF(RIGHT(A309,2)=""mo"",
    EDATE(DATEVALUE(K309), -VALUE(REGEXEXTRACT(A309,""\d+""))),
    DATEVALUE(K309) - IF(RIGHT(A309,1)=""h"", VALUE(REGEXEXTRACT(A309,""\d+""))/24,
         IF(RIGHT(A309,1)=""d"", VALUE(REGEXEXTRACT(A309,""\d+"")),
      "&amp;"   IF(RIGHT(A309,1)=""w"", VALUE(REGEXEXTRACT(A309,""\d+""))*7,
         0)))
  )
, ""YYYY-M-D"")"),"2026-2-3")</f>
        <v>2026-2-3</v>
      </c>
    </row>
    <row r="310">
      <c r="A310" s="10" t="s">
        <v>370</v>
      </c>
      <c r="B310" s="10" t="s">
        <v>1060</v>
      </c>
      <c r="C310" s="10" t="s">
        <v>15</v>
      </c>
      <c r="D310" s="10" t="s">
        <v>16</v>
      </c>
      <c r="E310" s="10" t="s">
        <v>17</v>
      </c>
      <c r="F310" s="10" t="s">
        <v>1061</v>
      </c>
      <c r="G310" s="10" t="s">
        <v>1062</v>
      </c>
      <c r="H310" s="10" t="s">
        <v>1063</v>
      </c>
      <c r="I310" s="10" t="s">
        <v>1064</v>
      </c>
      <c r="J310" s="10" t="s">
        <v>9</v>
      </c>
      <c r="K310" s="5">
        <v>46084.0</v>
      </c>
      <c r="L310" s="11" t="s">
        <v>784</v>
      </c>
      <c r="M310" s="7" t="str">
        <f>IFERROR(__xludf.DUMMYFUNCTION("TEXT(
  IF(RIGHT(A310,2)=""mo"",
    EDATE(DATEVALUE(K310), -VALUE(REGEXEXTRACT(A310,""\d+""))),
    DATEVALUE(K310) - IF(RIGHT(A310,1)=""h"", VALUE(REGEXEXTRACT(A310,""\d+""))/24,
         IF(RIGHT(A310,1)=""d"", VALUE(REGEXEXTRACT(A310,""\d+"")),
      "&amp;"   IF(RIGHT(A310,1)=""w"", VALUE(REGEXEXTRACT(A310,""\d+""))*7,
         0)))
  )
, ""YYYY-M-D"")"),"2026-2-3")</f>
        <v>2026-2-3</v>
      </c>
    </row>
    <row r="311">
      <c r="A311" s="10" t="s">
        <v>321</v>
      </c>
      <c r="B311" s="10" t="s">
        <v>1065</v>
      </c>
      <c r="C311" s="10" t="s">
        <v>15</v>
      </c>
      <c r="D311" s="10" t="s">
        <v>16</v>
      </c>
      <c r="E311" s="10" t="s">
        <v>17</v>
      </c>
      <c r="F311" s="10" t="s">
        <v>1066</v>
      </c>
      <c r="G311" s="10" t="s">
        <v>1067</v>
      </c>
      <c r="H311" s="10" t="s">
        <v>1068</v>
      </c>
      <c r="I311" s="10" t="s">
        <v>1069</v>
      </c>
      <c r="J311" s="10" t="s">
        <v>9</v>
      </c>
      <c r="K311" s="5">
        <v>46084.0</v>
      </c>
      <c r="L311" s="11" t="s">
        <v>784</v>
      </c>
      <c r="M311" s="7" t="str">
        <f>IFERROR(__xludf.DUMMYFUNCTION("TEXT(
  IF(RIGHT(A311,2)=""mo"",
    EDATE(DATEVALUE(K311), -VALUE(REGEXEXTRACT(A311,""\d+""))),
    DATEVALUE(K311) - IF(RIGHT(A311,1)=""h"", VALUE(REGEXEXTRACT(A311,""\d+""))/24,
         IF(RIGHT(A311,1)=""d"", VALUE(REGEXEXTRACT(A311,""\d+"")),
      "&amp;"   IF(RIGHT(A311,1)=""w"", VALUE(REGEXEXTRACT(A311,""\d+""))*7,
         0)))
  )
, ""YYYY-M-D"")"),"2026-2-10")</f>
        <v>2026-2-10</v>
      </c>
    </row>
    <row r="312">
      <c r="A312" s="10" t="s">
        <v>581</v>
      </c>
      <c r="B312" s="10" t="s">
        <v>1070</v>
      </c>
      <c r="C312" s="10" t="s">
        <v>15</v>
      </c>
      <c r="D312" s="10" t="s">
        <v>44</v>
      </c>
      <c r="E312" s="10" t="s">
        <v>17</v>
      </c>
      <c r="F312" s="10" t="s">
        <v>721</v>
      </c>
      <c r="G312" s="10" t="s">
        <v>722</v>
      </c>
      <c r="H312" s="10" t="s">
        <v>1071</v>
      </c>
      <c r="I312" s="10" t="s">
        <v>1072</v>
      </c>
      <c r="J312" s="10" t="s">
        <v>9</v>
      </c>
      <c r="K312" s="5">
        <v>46084.0</v>
      </c>
      <c r="L312" s="11" t="s">
        <v>784</v>
      </c>
      <c r="M312" s="7" t="str">
        <f>IFERROR(__xludf.DUMMYFUNCTION("TEXT(
  IF(RIGHT(A312,2)=""mo"",
    EDATE(DATEVALUE(K312), -VALUE(REGEXEXTRACT(A312,""\d+""))),
    DATEVALUE(K312) - IF(RIGHT(A312,1)=""h"", VALUE(REGEXEXTRACT(A312,""\d+""))/24,
         IF(RIGHT(A312,1)=""d"", VALUE(REGEXEXTRACT(A312,""\d+"")),
      "&amp;"   IF(RIGHT(A312,1)=""w"", VALUE(REGEXEXTRACT(A312,""\d+""))*7,
         0)))
  )
, ""YYYY-M-D"")"),"2026-1-3")</f>
        <v>2026-1-3</v>
      </c>
    </row>
    <row r="313">
      <c r="A313" s="10" t="s">
        <v>239</v>
      </c>
      <c r="B313" s="10" t="s">
        <v>1073</v>
      </c>
      <c r="C313" s="10" t="s">
        <v>1074</v>
      </c>
      <c r="D313" s="10" t="s">
        <v>16</v>
      </c>
      <c r="E313" s="10" t="s">
        <v>17</v>
      </c>
      <c r="F313" s="10" t="s">
        <v>1075</v>
      </c>
      <c r="G313" s="10" t="s">
        <v>1076</v>
      </c>
      <c r="H313" s="10" t="s">
        <v>1077</v>
      </c>
      <c r="I313" s="10" t="s">
        <v>1078</v>
      </c>
      <c r="J313" s="10" t="s">
        <v>9</v>
      </c>
      <c r="K313" s="5">
        <v>46084.0</v>
      </c>
      <c r="L313" s="11" t="s">
        <v>784</v>
      </c>
      <c r="M313" s="7" t="str">
        <f>IFERROR(__xludf.DUMMYFUNCTION("TEXT(
  IF(RIGHT(A313,2)=""mo"",
    EDATE(DATEVALUE(K313), -VALUE(REGEXEXTRACT(A313,""\d+""))),
    DATEVALUE(K313) - IF(RIGHT(A313,1)=""h"", VALUE(REGEXEXTRACT(A313,""\d+""))/24,
         IF(RIGHT(A313,1)=""d"", VALUE(REGEXEXTRACT(A313,""\d+"")),
      "&amp;"   IF(RIGHT(A313,1)=""w"", VALUE(REGEXEXTRACT(A313,""\d+""))*7,
         0)))
  )
, ""YYYY-M-D"")"),"2026-2-17")</f>
        <v>2026-2-17</v>
      </c>
    </row>
    <row r="314">
      <c r="A314" s="10" t="s">
        <v>321</v>
      </c>
      <c r="B314" s="10" t="s">
        <v>1079</v>
      </c>
      <c r="C314" s="10" t="s">
        <v>15</v>
      </c>
      <c r="D314" s="10" t="s">
        <v>16</v>
      </c>
      <c r="E314" s="10" t="s">
        <v>17</v>
      </c>
      <c r="F314" s="10" t="s">
        <v>1080</v>
      </c>
      <c r="G314" s="10" t="s">
        <v>1081</v>
      </c>
      <c r="H314" s="10" t="s">
        <v>1082</v>
      </c>
      <c r="I314" s="10" t="s">
        <v>1083</v>
      </c>
      <c r="J314" s="10" t="s">
        <v>9</v>
      </c>
      <c r="K314" s="5">
        <v>46084.0</v>
      </c>
      <c r="L314" s="11" t="s">
        <v>784</v>
      </c>
      <c r="M314" s="7" t="str">
        <f>IFERROR(__xludf.DUMMYFUNCTION("TEXT(
  IF(RIGHT(A314,2)=""mo"",
    EDATE(DATEVALUE(K314), -VALUE(REGEXEXTRACT(A314,""\d+""))),
    DATEVALUE(K314) - IF(RIGHT(A314,1)=""h"", VALUE(REGEXEXTRACT(A314,""\d+""))/24,
         IF(RIGHT(A314,1)=""d"", VALUE(REGEXEXTRACT(A314,""\d+"")),
      "&amp;"   IF(RIGHT(A314,1)=""w"", VALUE(REGEXEXTRACT(A314,""\d+""))*7,
         0)))
  )
, ""YYYY-M-D"")"),"2026-2-10")</f>
        <v>2026-2-10</v>
      </c>
    </row>
    <row r="315">
      <c r="A315" s="10" t="s">
        <v>379</v>
      </c>
      <c r="B315" s="10" t="s">
        <v>1084</v>
      </c>
      <c r="C315" s="10" t="s">
        <v>15</v>
      </c>
      <c r="D315" s="10" t="s">
        <v>44</v>
      </c>
      <c r="E315" s="10" t="s">
        <v>17</v>
      </c>
      <c r="F315" s="10" t="s">
        <v>1085</v>
      </c>
      <c r="G315" s="10" t="s">
        <v>1086</v>
      </c>
      <c r="H315" s="10" t="s">
        <v>1087</v>
      </c>
      <c r="I315" s="10" t="s">
        <v>1088</v>
      </c>
      <c r="J315" s="10" t="s">
        <v>9</v>
      </c>
      <c r="K315" s="5">
        <v>46084.0</v>
      </c>
      <c r="L315" s="11" t="s">
        <v>784</v>
      </c>
      <c r="M315" s="7" t="str">
        <f>IFERROR(__xludf.DUMMYFUNCTION("TEXT(
  IF(RIGHT(A315,2)=""mo"",
    EDATE(DATEVALUE(K315), -VALUE(REGEXEXTRACT(A315,""\d+""))),
    DATEVALUE(K315) - IF(RIGHT(A315,1)=""h"", VALUE(REGEXEXTRACT(A315,""\d+""))/24,
         IF(RIGHT(A315,1)=""d"", VALUE(REGEXEXTRACT(A315,""\d+"")),
      "&amp;"   IF(RIGHT(A315,1)=""w"", VALUE(REGEXEXTRACT(A315,""\d+""))*7,
         0)))
  )
, ""YYYY-M-D"")"),"2026-2-3")</f>
        <v>2026-2-3</v>
      </c>
    </row>
    <row r="316">
      <c r="A316" s="10" t="s">
        <v>379</v>
      </c>
      <c r="B316" s="10" t="s">
        <v>1089</v>
      </c>
      <c r="C316" s="10" t="s">
        <v>518</v>
      </c>
      <c r="D316" s="10" t="s">
        <v>44</v>
      </c>
      <c r="E316" s="10" t="s">
        <v>17</v>
      </c>
      <c r="F316" s="10" t="s">
        <v>1090</v>
      </c>
      <c r="G316" s="10" t="s">
        <v>1091</v>
      </c>
      <c r="H316" s="10" t="s">
        <v>1092</v>
      </c>
      <c r="I316" s="10" t="s">
        <v>21</v>
      </c>
      <c r="J316" s="10" t="s">
        <v>9</v>
      </c>
      <c r="K316" s="5">
        <v>46084.0</v>
      </c>
      <c r="L316" s="11" t="s">
        <v>784</v>
      </c>
      <c r="M316" s="7" t="str">
        <f>IFERROR(__xludf.DUMMYFUNCTION("TEXT(
  IF(RIGHT(A316,2)=""mo"",
    EDATE(DATEVALUE(K316), -VALUE(REGEXEXTRACT(A316,""\d+""))),
    DATEVALUE(K316) - IF(RIGHT(A316,1)=""h"", VALUE(REGEXEXTRACT(A316,""\d+""))/24,
         IF(RIGHT(A316,1)=""d"", VALUE(REGEXEXTRACT(A316,""\d+"")),
      "&amp;"   IF(RIGHT(A316,1)=""w"", VALUE(REGEXEXTRACT(A316,""\d+""))*7,
         0)))
  )
, ""YYYY-M-D"")"),"2026-2-3")</f>
        <v>2026-2-3</v>
      </c>
    </row>
    <row r="317">
      <c r="A317" s="10" t="s">
        <v>321</v>
      </c>
      <c r="B317" s="10" t="s">
        <v>1093</v>
      </c>
      <c r="C317" s="10" t="s">
        <v>15</v>
      </c>
      <c r="D317" s="10" t="s">
        <v>44</v>
      </c>
      <c r="E317" s="10" t="s">
        <v>17</v>
      </c>
      <c r="F317" s="10" t="s">
        <v>1094</v>
      </c>
      <c r="G317" s="10" t="s">
        <v>1095</v>
      </c>
      <c r="H317" s="10" t="s">
        <v>1096</v>
      </c>
      <c r="I317" s="10" t="s">
        <v>1097</v>
      </c>
      <c r="J317" s="10" t="s">
        <v>9</v>
      </c>
      <c r="K317" s="5">
        <v>46084.0</v>
      </c>
      <c r="L317" s="11" t="s">
        <v>784</v>
      </c>
      <c r="M317" s="7" t="str">
        <f>IFERROR(__xludf.DUMMYFUNCTION("TEXT(
  IF(RIGHT(A317,2)=""mo"",
    EDATE(DATEVALUE(K317), -VALUE(REGEXEXTRACT(A317,""\d+""))),
    DATEVALUE(K317) - IF(RIGHT(A317,1)=""h"", VALUE(REGEXEXTRACT(A317,""\d+""))/24,
         IF(RIGHT(A317,1)=""d"", VALUE(REGEXEXTRACT(A317,""\d+"")),
      "&amp;"   IF(RIGHT(A317,1)=""w"", VALUE(REGEXEXTRACT(A317,""\d+""))*7,
         0)))
  )
, ""YYYY-M-D"")"),"2026-2-10")</f>
        <v>2026-2-10</v>
      </c>
    </row>
    <row r="318">
      <c r="A318" s="10" t="s">
        <v>173</v>
      </c>
      <c r="B318" s="10" t="s">
        <v>1098</v>
      </c>
      <c r="C318" s="10" t="s">
        <v>15</v>
      </c>
      <c r="D318" s="10" t="s">
        <v>44</v>
      </c>
      <c r="E318" s="10" t="s">
        <v>17</v>
      </c>
      <c r="F318" s="10" t="s">
        <v>1099</v>
      </c>
      <c r="G318" s="10" t="s">
        <v>1100</v>
      </c>
      <c r="H318" s="10" t="s">
        <v>1101</v>
      </c>
      <c r="I318" s="10" t="s">
        <v>21</v>
      </c>
      <c r="J318" s="10" t="s">
        <v>9</v>
      </c>
      <c r="K318" s="5">
        <v>46084.0</v>
      </c>
      <c r="L318" s="11" t="s">
        <v>784</v>
      </c>
      <c r="M318" s="7" t="str">
        <f>IFERROR(__xludf.DUMMYFUNCTION("TEXT(
  IF(RIGHT(A318,2)=""mo"",
    EDATE(DATEVALUE(K318), -VALUE(REGEXEXTRACT(A318,""\d+""))),
    DATEVALUE(K318) - IF(RIGHT(A318,1)=""h"", VALUE(REGEXEXTRACT(A318,""\d+""))/24,
         IF(RIGHT(A318,1)=""d"", VALUE(REGEXEXTRACT(A318,""\d+"")),
      "&amp;"   IF(RIGHT(A318,1)=""w"", VALUE(REGEXEXTRACT(A318,""\d+""))*7,
         0)))
  )
, ""YYYY-M-D"")"),"2026-2-24")</f>
        <v>2026-2-24</v>
      </c>
    </row>
    <row r="319">
      <c r="A319" s="10" t="s">
        <v>379</v>
      </c>
      <c r="B319" s="10" t="s">
        <v>1102</v>
      </c>
      <c r="C319" s="10" t="s">
        <v>1103</v>
      </c>
      <c r="D319" s="10" t="s">
        <v>37</v>
      </c>
      <c r="E319" s="10" t="s">
        <v>17</v>
      </c>
      <c r="F319" s="10" t="s">
        <v>1104</v>
      </c>
      <c r="G319" s="10" t="s">
        <v>1105</v>
      </c>
      <c r="H319" s="10" t="s">
        <v>1106</v>
      </c>
      <c r="I319" s="10" t="s">
        <v>21</v>
      </c>
      <c r="J319" s="10" t="s">
        <v>9</v>
      </c>
      <c r="K319" s="5">
        <v>46084.0</v>
      </c>
      <c r="L319" s="11" t="s">
        <v>784</v>
      </c>
      <c r="M319" s="7" t="str">
        <f>IFERROR(__xludf.DUMMYFUNCTION("TEXT(
  IF(RIGHT(A319,2)=""mo"",
    EDATE(DATEVALUE(K319), -VALUE(REGEXEXTRACT(A319,""\d+""))),
    DATEVALUE(K319) - IF(RIGHT(A319,1)=""h"", VALUE(REGEXEXTRACT(A319,""\d+""))/24,
         IF(RIGHT(A319,1)=""d"", VALUE(REGEXEXTRACT(A319,""\d+"")),
      "&amp;"   IF(RIGHT(A319,1)=""w"", VALUE(REGEXEXTRACT(A319,""\d+""))*7,
         0)))
  )
, ""YYYY-M-D"")"),"2026-2-3")</f>
        <v>2026-2-3</v>
      </c>
    </row>
    <row r="320">
      <c r="A320" s="10" t="s">
        <v>581</v>
      </c>
      <c r="B320" s="10" t="s">
        <v>1107</v>
      </c>
      <c r="C320" s="10" t="s">
        <v>1108</v>
      </c>
      <c r="D320" s="10" t="s">
        <v>37</v>
      </c>
      <c r="E320" s="10" t="s">
        <v>17</v>
      </c>
      <c r="F320" s="10" t="s">
        <v>1109</v>
      </c>
      <c r="G320" s="10" t="s">
        <v>1110</v>
      </c>
      <c r="H320" s="10" t="s">
        <v>1111</v>
      </c>
      <c r="I320" s="10" t="s">
        <v>1112</v>
      </c>
      <c r="J320" s="10" t="s">
        <v>9</v>
      </c>
      <c r="K320" s="5">
        <v>46084.0</v>
      </c>
      <c r="L320" s="11" t="s">
        <v>784</v>
      </c>
      <c r="M320" s="7" t="str">
        <f>IFERROR(__xludf.DUMMYFUNCTION("TEXT(
  IF(RIGHT(A320,2)=""mo"",
    EDATE(DATEVALUE(K320), -VALUE(REGEXEXTRACT(A320,""\d+""))),
    DATEVALUE(K320) - IF(RIGHT(A320,1)=""h"", VALUE(REGEXEXTRACT(A320,""\d+""))/24,
         IF(RIGHT(A320,1)=""d"", VALUE(REGEXEXTRACT(A320,""\d+"")),
      "&amp;"   IF(RIGHT(A320,1)=""w"", VALUE(REGEXEXTRACT(A320,""\d+""))*7,
         0)))
  )
, ""YYYY-M-D"")"),"2026-1-3")</f>
        <v>2026-1-3</v>
      </c>
    </row>
    <row r="321">
      <c r="A321" s="10" t="s">
        <v>379</v>
      </c>
      <c r="B321" s="10" t="s">
        <v>1113</v>
      </c>
      <c r="C321" s="10" t="s">
        <v>15</v>
      </c>
      <c r="D321" s="10" t="s">
        <v>44</v>
      </c>
      <c r="E321" s="10" t="s">
        <v>17</v>
      </c>
      <c r="F321" s="10" t="s">
        <v>1114</v>
      </c>
      <c r="G321" s="10" t="s">
        <v>1115</v>
      </c>
      <c r="H321" s="10" t="s">
        <v>1116</v>
      </c>
      <c r="I321" s="10" t="s">
        <v>1117</v>
      </c>
      <c r="J321" s="10" t="s">
        <v>9</v>
      </c>
      <c r="K321" s="5">
        <v>46084.0</v>
      </c>
      <c r="L321" s="11" t="s">
        <v>784</v>
      </c>
      <c r="M321" s="7" t="str">
        <f>IFERROR(__xludf.DUMMYFUNCTION("TEXT(
  IF(RIGHT(A321,2)=""mo"",
    EDATE(DATEVALUE(K321), -VALUE(REGEXEXTRACT(A321,""\d+""))),
    DATEVALUE(K321) - IF(RIGHT(A321,1)=""h"", VALUE(REGEXEXTRACT(A321,""\d+""))/24,
         IF(RIGHT(A321,1)=""d"", VALUE(REGEXEXTRACT(A321,""\d+"")),
      "&amp;"   IF(RIGHT(A321,1)=""w"", VALUE(REGEXEXTRACT(A321,""\d+""))*7,
         0)))
  )
, ""YYYY-M-D"")"),"2026-2-3")</f>
        <v>2026-2-3</v>
      </c>
    </row>
    <row r="322">
      <c r="A322" s="10" t="s">
        <v>379</v>
      </c>
      <c r="B322" s="10" t="s">
        <v>1118</v>
      </c>
      <c r="C322" s="10" t="s">
        <v>15</v>
      </c>
      <c r="D322" s="10" t="s">
        <v>44</v>
      </c>
      <c r="E322" s="10" t="s">
        <v>17</v>
      </c>
      <c r="F322" s="10" t="s">
        <v>1119</v>
      </c>
      <c r="G322" s="10" t="s">
        <v>1120</v>
      </c>
      <c r="H322" s="10" t="s">
        <v>1121</v>
      </c>
      <c r="I322" s="10" t="s">
        <v>1122</v>
      </c>
      <c r="J322" s="10" t="s">
        <v>9</v>
      </c>
      <c r="K322" s="5">
        <v>46084.0</v>
      </c>
      <c r="L322" s="11" t="s">
        <v>784</v>
      </c>
      <c r="M322" s="7" t="str">
        <f>IFERROR(__xludf.DUMMYFUNCTION("TEXT(
  IF(RIGHT(A322,2)=""mo"",
    EDATE(DATEVALUE(K322), -VALUE(REGEXEXTRACT(A322,""\d+""))),
    DATEVALUE(K322) - IF(RIGHT(A322,1)=""h"", VALUE(REGEXEXTRACT(A322,""\d+""))/24,
         IF(RIGHT(A322,1)=""d"", VALUE(REGEXEXTRACT(A322,""\d+"")),
      "&amp;"   IF(RIGHT(A322,1)=""w"", VALUE(REGEXEXTRACT(A322,""\d+""))*7,
         0)))
  )
, ""YYYY-M-D"")"),"2026-2-3")</f>
        <v>2026-2-3</v>
      </c>
    </row>
    <row r="323">
      <c r="A323" s="10" t="s">
        <v>173</v>
      </c>
      <c r="B323" s="10" t="s">
        <v>1123</v>
      </c>
      <c r="C323" s="10" t="s">
        <v>268</v>
      </c>
      <c r="D323" s="10" t="s">
        <v>37</v>
      </c>
      <c r="E323" s="10" t="s">
        <v>17</v>
      </c>
      <c r="F323" s="10" t="s">
        <v>1124</v>
      </c>
      <c r="G323" s="10" t="s">
        <v>1125</v>
      </c>
      <c r="H323" s="10" t="s">
        <v>1126</v>
      </c>
      <c r="I323" s="10" t="s">
        <v>469</v>
      </c>
      <c r="J323" s="10" t="s">
        <v>9</v>
      </c>
      <c r="K323" s="5">
        <v>46084.0</v>
      </c>
      <c r="L323" s="11" t="s">
        <v>784</v>
      </c>
      <c r="M323" s="7" t="str">
        <f>IFERROR(__xludf.DUMMYFUNCTION("TEXT(
  IF(RIGHT(A323,2)=""mo"",
    EDATE(DATEVALUE(K323), -VALUE(REGEXEXTRACT(A323,""\d+""))),
    DATEVALUE(K323) - IF(RIGHT(A323,1)=""h"", VALUE(REGEXEXTRACT(A323,""\d+""))/24,
         IF(RIGHT(A323,1)=""d"", VALUE(REGEXEXTRACT(A323,""\d+"")),
      "&amp;"   IF(RIGHT(A323,1)=""w"", VALUE(REGEXEXTRACT(A323,""\d+""))*7,
         0)))
  )
, ""YYYY-M-D"")"),"2026-2-24")</f>
        <v>2026-2-24</v>
      </c>
    </row>
    <row r="324">
      <c r="A324" s="10" t="s">
        <v>581</v>
      </c>
      <c r="B324" s="10" t="s">
        <v>1127</v>
      </c>
      <c r="C324" s="10" t="s">
        <v>15</v>
      </c>
      <c r="D324" s="10" t="s">
        <v>44</v>
      </c>
      <c r="E324" s="10" t="s">
        <v>17</v>
      </c>
      <c r="F324" s="10" t="s">
        <v>1128</v>
      </c>
      <c r="G324" s="10" t="s">
        <v>1129</v>
      </c>
      <c r="H324" s="10" t="s">
        <v>1130</v>
      </c>
      <c r="I324" s="10" t="s">
        <v>1131</v>
      </c>
      <c r="J324" s="10" t="s">
        <v>9</v>
      </c>
      <c r="K324" s="5">
        <v>46084.0</v>
      </c>
      <c r="L324" s="11" t="s">
        <v>784</v>
      </c>
      <c r="M324" s="7" t="str">
        <f>IFERROR(__xludf.DUMMYFUNCTION("TEXT(
  IF(RIGHT(A324,2)=""mo"",
    EDATE(DATEVALUE(K324), -VALUE(REGEXEXTRACT(A324,""\d+""))),
    DATEVALUE(K324) - IF(RIGHT(A324,1)=""h"", VALUE(REGEXEXTRACT(A324,""\d+""))/24,
         IF(RIGHT(A324,1)=""d"", VALUE(REGEXEXTRACT(A324,""\d+"")),
      "&amp;"   IF(RIGHT(A324,1)=""w"", VALUE(REGEXEXTRACT(A324,""\d+""))*7,
         0)))
  )
, ""YYYY-M-D"")"),"2026-1-3")</f>
        <v>2026-1-3</v>
      </c>
    </row>
    <row r="325">
      <c r="A325" s="10" t="s">
        <v>1132</v>
      </c>
      <c r="B325" s="10" t="s">
        <v>1133</v>
      </c>
      <c r="C325" s="10" t="s">
        <v>15</v>
      </c>
      <c r="D325" s="10" t="s">
        <v>44</v>
      </c>
      <c r="E325" s="10" t="s">
        <v>17</v>
      </c>
      <c r="F325" s="10" t="s">
        <v>1134</v>
      </c>
      <c r="G325" s="10" t="s">
        <v>1135</v>
      </c>
      <c r="H325" s="10" t="s">
        <v>1136</v>
      </c>
      <c r="I325" s="10" t="s">
        <v>21</v>
      </c>
      <c r="J325" s="10" t="s">
        <v>9</v>
      </c>
      <c r="K325" s="5">
        <v>46084.0</v>
      </c>
      <c r="L325" s="11" t="s">
        <v>784</v>
      </c>
      <c r="M325" s="7" t="str">
        <f>IFERROR(__xludf.DUMMYFUNCTION("TEXT(
  IF(RIGHT(A325,2)=""mo"",
    EDATE(DATEVALUE(K325), -VALUE(REGEXEXTRACT(A325,""\d+""))),
    DATEVALUE(K325) - IF(RIGHT(A325,1)=""h"", VALUE(REGEXEXTRACT(A325,""\d+""))/24,
         IF(RIGHT(A325,1)=""d"", VALUE(REGEXEXTRACT(A325,""\d+"")),
      "&amp;"   IF(RIGHT(A325,1)=""w"", VALUE(REGEXEXTRACT(A325,""\d+""))*7,
         0)))
  )
, ""YYYY-M-D"")"),"2026-3-2")</f>
        <v>2026-3-2</v>
      </c>
    </row>
    <row r="326">
      <c r="A326" s="10" t="s">
        <v>379</v>
      </c>
      <c r="B326" s="10" t="s">
        <v>1137</v>
      </c>
      <c r="C326" s="10" t="s">
        <v>268</v>
      </c>
      <c r="D326" s="10" t="s">
        <v>37</v>
      </c>
      <c r="E326" s="10" t="s">
        <v>421</v>
      </c>
      <c r="F326" s="10" t="s">
        <v>1138</v>
      </c>
      <c r="G326" s="10" t="s">
        <v>1139</v>
      </c>
      <c r="H326" s="10" t="s">
        <v>1140</v>
      </c>
      <c r="I326" s="10" t="s">
        <v>21</v>
      </c>
      <c r="J326" s="10" t="s">
        <v>9</v>
      </c>
      <c r="K326" s="5">
        <v>46084.0</v>
      </c>
      <c r="L326" s="11" t="s">
        <v>784</v>
      </c>
      <c r="M326" s="7" t="str">
        <f>IFERROR(__xludf.DUMMYFUNCTION("TEXT(
  IF(RIGHT(A326,2)=""mo"",
    EDATE(DATEVALUE(K326), -VALUE(REGEXEXTRACT(A326,""\d+""))),
    DATEVALUE(K326) - IF(RIGHT(A326,1)=""h"", VALUE(REGEXEXTRACT(A326,""\d+""))/24,
         IF(RIGHT(A326,1)=""d"", VALUE(REGEXEXTRACT(A326,""\d+"")),
      "&amp;"   IF(RIGHT(A326,1)=""w"", VALUE(REGEXEXTRACT(A326,""\d+""))*7,
         0)))
  )
, ""YYYY-M-D"")"),"2026-2-3")</f>
        <v>2026-2-3</v>
      </c>
    </row>
    <row r="327">
      <c r="A327" s="10" t="s">
        <v>321</v>
      </c>
      <c r="B327" s="10" t="s">
        <v>1141</v>
      </c>
      <c r="C327" s="10" t="s">
        <v>15</v>
      </c>
      <c r="D327" s="10" t="s">
        <v>44</v>
      </c>
      <c r="E327" s="10" t="s">
        <v>17</v>
      </c>
      <c r="F327" s="10" t="s">
        <v>1142</v>
      </c>
      <c r="G327" s="10" t="s">
        <v>1143</v>
      </c>
      <c r="H327" s="10" t="s">
        <v>1144</v>
      </c>
      <c r="I327" s="10" t="s">
        <v>1145</v>
      </c>
      <c r="J327" s="10" t="s">
        <v>9</v>
      </c>
      <c r="K327" s="5">
        <v>46084.0</v>
      </c>
      <c r="L327" s="11" t="s">
        <v>784</v>
      </c>
      <c r="M327" s="7" t="str">
        <f>IFERROR(__xludf.DUMMYFUNCTION("TEXT(
  IF(RIGHT(A327,2)=""mo"",
    EDATE(DATEVALUE(K327), -VALUE(REGEXEXTRACT(A327,""\d+""))),
    DATEVALUE(K327) - IF(RIGHT(A327,1)=""h"", VALUE(REGEXEXTRACT(A327,""\d+""))/24,
         IF(RIGHT(A327,1)=""d"", VALUE(REGEXEXTRACT(A327,""\d+"")),
      "&amp;"   IF(RIGHT(A327,1)=""w"", VALUE(REGEXEXTRACT(A327,""\d+""))*7,
         0)))
  )
, ""YYYY-M-D"")"),"2026-2-10")</f>
        <v>2026-2-10</v>
      </c>
    </row>
    <row r="328">
      <c r="A328" s="10" t="s">
        <v>581</v>
      </c>
      <c r="B328" s="10" t="s">
        <v>1146</v>
      </c>
      <c r="C328" s="10" t="s">
        <v>15</v>
      </c>
      <c r="D328" s="10" t="s">
        <v>44</v>
      </c>
      <c r="E328" s="10" t="s">
        <v>17</v>
      </c>
      <c r="F328" s="10" t="s">
        <v>1147</v>
      </c>
      <c r="G328" s="10" t="s">
        <v>1148</v>
      </c>
      <c r="H328" s="10" t="s">
        <v>1149</v>
      </c>
      <c r="I328" s="10" t="s">
        <v>1150</v>
      </c>
      <c r="J328" s="10" t="s">
        <v>9</v>
      </c>
      <c r="K328" s="5">
        <v>46084.0</v>
      </c>
      <c r="L328" s="11" t="s">
        <v>784</v>
      </c>
      <c r="M328" s="7" t="str">
        <f>IFERROR(__xludf.DUMMYFUNCTION("TEXT(
  IF(RIGHT(A328,2)=""mo"",
    EDATE(DATEVALUE(K328), -VALUE(REGEXEXTRACT(A328,""\d+""))),
    DATEVALUE(K328) - IF(RIGHT(A328,1)=""h"", VALUE(REGEXEXTRACT(A328,""\d+""))/24,
         IF(RIGHT(A328,1)=""d"", VALUE(REGEXEXTRACT(A328,""\d+"")),
      "&amp;"   IF(RIGHT(A328,1)=""w"", VALUE(REGEXEXTRACT(A328,""\d+""))*7,
         0)))
  )
, ""YYYY-M-D"")"),"2026-1-3")</f>
        <v>2026-1-3</v>
      </c>
    </row>
    <row r="329">
      <c r="A329" s="10" t="s">
        <v>379</v>
      </c>
      <c r="B329" s="10" t="s">
        <v>1151</v>
      </c>
      <c r="C329" s="10" t="s">
        <v>15</v>
      </c>
      <c r="D329" s="10" t="s">
        <v>16</v>
      </c>
      <c r="E329" s="10" t="s">
        <v>17</v>
      </c>
      <c r="F329" s="10" t="s">
        <v>1152</v>
      </c>
      <c r="G329" s="10" t="s">
        <v>1153</v>
      </c>
      <c r="H329" s="10" t="s">
        <v>1154</v>
      </c>
      <c r="I329" s="10" t="s">
        <v>1155</v>
      </c>
      <c r="J329" s="10" t="s">
        <v>9</v>
      </c>
      <c r="K329" s="5">
        <v>46084.0</v>
      </c>
      <c r="L329" s="11" t="s">
        <v>784</v>
      </c>
      <c r="M329" s="7" t="str">
        <f>IFERROR(__xludf.DUMMYFUNCTION("TEXT(
  IF(RIGHT(A329,2)=""mo"",
    EDATE(DATEVALUE(K329), -VALUE(REGEXEXTRACT(A329,""\d+""))),
    DATEVALUE(K329) - IF(RIGHT(A329,1)=""h"", VALUE(REGEXEXTRACT(A329,""\d+""))/24,
         IF(RIGHT(A329,1)=""d"", VALUE(REGEXEXTRACT(A329,""\d+"")),
      "&amp;"   IF(RIGHT(A329,1)=""w"", VALUE(REGEXEXTRACT(A329,""\d+""))*7,
         0)))
  )
, ""YYYY-M-D"")"),"2026-2-3")</f>
        <v>2026-2-3</v>
      </c>
    </row>
    <row r="330">
      <c r="A330" s="10" t="s">
        <v>321</v>
      </c>
      <c r="B330" s="10" t="s">
        <v>1156</v>
      </c>
      <c r="C330" s="10" t="s">
        <v>15</v>
      </c>
      <c r="D330" s="10" t="s">
        <v>44</v>
      </c>
      <c r="E330" s="10" t="s">
        <v>17</v>
      </c>
      <c r="F330" s="10" t="s">
        <v>1157</v>
      </c>
      <c r="G330" s="10" t="s">
        <v>1158</v>
      </c>
      <c r="H330" s="10" t="s">
        <v>1159</v>
      </c>
      <c r="I330" s="10" t="s">
        <v>21</v>
      </c>
      <c r="J330" s="10" t="s">
        <v>9</v>
      </c>
      <c r="K330" s="5">
        <v>46084.0</v>
      </c>
      <c r="L330" s="11" t="s">
        <v>784</v>
      </c>
      <c r="M330" s="7" t="str">
        <f>IFERROR(__xludf.DUMMYFUNCTION("TEXT(
  IF(RIGHT(A330,2)=""mo"",
    EDATE(DATEVALUE(K330), -VALUE(REGEXEXTRACT(A330,""\d+""))),
    DATEVALUE(K330) - IF(RIGHT(A330,1)=""h"", VALUE(REGEXEXTRACT(A330,""\d+""))/24,
         IF(RIGHT(A330,1)=""d"", VALUE(REGEXEXTRACT(A330,""\d+"")),
      "&amp;"   IF(RIGHT(A330,1)=""w"", VALUE(REGEXEXTRACT(A330,""\d+""))*7,
         0)))
  )
, ""YYYY-M-D"")"),"2026-2-10")</f>
        <v>2026-2-10</v>
      </c>
    </row>
    <row r="331">
      <c r="A331" s="10" t="s">
        <v>379</v>
      </c>
      <c r="B331" s="10" t="s">
        <v>1160</v>
      </c>
      <c r="C331" s="10" t="s">
        <v>15</v>
      </c>
      <c r="D331" s="10" t="s">
        <v>44</v>
      </c>
      <c r="E331" s="10" t="s">
        <v>17</v>
      </c>
      <c r="F331" s="10" t="s">
        <v>1161</v>
      </c>
      <c r="G331" s="10" t="s">
        <v>1162</v>
      </c>
      <c r="H331" s="10" t="s">
        <v>1163</v>
      </c>
      <c r="I331" s="10" t="s">
        <v>1164</v>
      </c>
      <c r="J331" s="10" t="s">
        <v>9</v>
      </c>
      <c r="K331" s="5">
        <v>46084.0</v>
      </c>
      <c r="L331" s="11" t="s">
        <v>784</v>
      </c>
      <c r="M331" s="7" t="str">
        <f>IFERROR(__xludf.DUMMYFUNCTION("TEXT(
  IF(RIGHT(A331,2)=""mo"",
    EDATE(DATEVALUE(K331), -VALUE(REGEXEXTRACT(A331,""\d+""))),
    DATEVALUE(K331) - IF(RIGHT(A331,1)=""h"", VALUE(REGEXEXTRACT(A331,""\d+""))/24,
         IF(RIGHT(A331,1)=""d"", VALUE(REGEXEXTRACT(A331,""\d+"")),
      "&amp;"   IF(RIGHT(A331,1)=""w"", VALUE(REGEXEXTRACT(A331,""\d+""))*7,
         0)))
  )
, ""YYYY-M-D"")"),"2026-2-3")</f>
        <v>2026-2-3</v>
      </c>
    </row>
    <row r="332">
      <c r="A332" s="10" t="s">
        <v>379</v>
      </c>
      <c r="B332" s="10" t="s">
        <v>1165</v>
      </c>
      <c r="C332" s="10" t="s">
        <v>518</v>
      </c>
      <c r="D332" s="10" t="s">
        <v>16</v>
      </c>
      <c r="E332" s="10" t="s">
        <v>17</v>
      </c>
      <c r="F332" s="10" t="s">
        <v>1166</v>
      </c>
      <c r="G332" s="10" t="s">
        <v>1167</v>
      </c>
      <c r="H332" s="10" t="s">
        <v>1168</v>
      </c>
      <c r="I332" s="10" t="s">
        <v>1169</v>
      </c>
      <c r="J332" s="10" t="s">
        <v>9</v>
      </c>
      <c r="K332" s="5">
        <v>46084.0</v>
      </c>
      <c r="L332" s="11" t="s">
        <v>784</v>
      </c>
      <c r="M332" s="7" t="str">
        <f>IFERROR(__xludf.DUMMYFUNCTION("TEXT(
  IF(RIGHT(A332,2)=""mo"",
    EDATE(DATEVALUE(K332), -VALUE(REGEXEXTRACT(A332,""\d+""))),
    DATEVALUE(K332) - IF(RIGHT(A332,1)=""h"", VALUE(REGEXEXTRACT(A332,""\d+""))/24,
         IF(RIGHT(A332,1)=""d"", VALUE(REGEXEXTRACT(A332,""\d+"")),
      "&amp;"   IF(RIGHT(A332,1)=""w"", VALUE(REGEXEXTRACT(A332,""\d+""))*7,
         0)))
  )
, ""YYYY-M-D"")"),"2026-2-3")</f>
        <v>2026-2-3</v>
      </c>
    </row>
    <row r="333">
      <c r="A333" s="10" t="s">
        <v>321</v>
      </c>
      <c r="B333" s="10" t="s">
        <v>1170</v>
      </c>
      <c r="C333" s="10" t="s">
        <v>15</v>
      </c>
      <c r="D333" s="10" t="s">
        <v>16</v>
      </c>
      <c r="E333" s="10" t="s">
        <v>17</v>
      </c>
      <c r="F333" s="10" t="s">
        <v>733</v>
      </c>
      <c r="G333" s="10" t="s">
        <v>734</v>
      </c>
      <c r="H333" s="10" t="s">
        <v>1171</v>
      </c>
      <c r="I333" s="10" t="s">
        <v>21</v>
      </c>
      <c r="J333" s="10" t="s">
        <v>9</v>
      </c>
      <c r="K333" s="5">
        <v>46084.0</v>
      </c>
      <c r="L333" s="11" t="s">
        <v>784</v>
      </c>
      <c r="M333" s="7" t="str">
        <f>IFERROR(__xludf.DUMMYFUNCTION("TEXT(
  IF(RIGHT(A333,2)=""mo"",
    EDATE(DATEVALUE(K333), -VALUE(REGEXEXTRACT(A333,""\d+""))),
    DATEVALUE(K333) - IF(RIGHT(A333,1)=""h"", VALUE(REGEXEXTRACT(A333,""\d+""))/24,
         IF(RIGHT(A333,1)=""d"", VALUE(REGEXEXTRACT(A333,""\d+"")),
      "&amp;"   IF(RIGHT(A333,1)=""w"", VALUE(REGEXEXTRACT(A333,""\d+""))*7,
         0)))
  )
, ""YYYY-M-D"")"),"2026-2-10")</f>
        <v>2026-2-10</v>
      </c>
    </row>
    <row r="334">
      <c r="A334" s="10" t="s">
        <v>581</v>
      </c>
      <c r="B334" s="10" t="s">
        <v>1172</v>
      </c>
      <c r="C334" s="10" t="s">
        <v>15</v>
      </c>
      <c r="D334" s="10" t="s">
        <v>44</v>
      </c>
      <c r="E334" s="10" t="s">
        <v>17</v>
      </c>
      <c r="F334" s="10" t="s">
        <v>50</v>
      </c>
      <c r="G334" s="10" t="s">
        <v>1173</v>
      </c>
      <c r="H334" s="10" t="s">
        <v>1174</v>
      </c>
      <c r="I334" s="10" t="s">
        <v>1175</v>
      </c>
      <c r="J334" s="10" t="s">
        <v>9</v>
      </c>
      <c r="K334" s="5">
        <v>46084.0</v>
      </c>
      <c r="L334" s="11" t="s">
        <v>784</v>
      </c>
      <c r="M334" s="7" t="str">
        <f>IFERROR(__xludf.DUMMYFUNCTION("TEXT(
  IF(RIGHT(A334,2)=""mo"",
    EDATE(DATEVALUE(K334), -VALUE(REGEXEXTRACT(A334,""\d+""))),
    DATEVALUE(K334) - IF(RIGHT(A334,1)=""h"", VALUE(REGEXEXTRACT(A334,""\d+""))/24,
         IF(RIGHT(A334,1)=""d"", VALUE(REGEXEXTRACT(A334,""\d+"")),
      "&amp;"   IF(RIGHT(A334,1)=""w"", VALUE(REGEXEXTRACT(A334,""\d+""))*7,
         0)))
  )
, ""YYYY-M-D"")"),"2026-1-3")</f>
        <v>2026-1-3</v>
      </c>
    </row>
    <row r="335">
      <c r="A335" s="10" t="s">
        <v>581</v>
      </c>
      <c r="B335" s="10" t="s">
        <v>1176</v>
      </c>
      <c r="C335" s="10" t="s">
        <v>15</v>
      </c>
      <c r="D335" s="10" t="s">
        <v>44</v>
      </c>
      <c r="E335" s="10" t="s">
        <v>17</v>
      </c>
      <c r="F335" s="10" t="s">
        <v>1177</v>
      </c>
      <c r="G335" s="10" t="s">
        <v>1178</v>
      </c>
      <c r="H335" s="10" t="s">
        <v>1179</v>
      </c>
      <c r="I335" s="10" t="s">
        <v>21</v>
      </c>
      <c r="J335" s="10" t="s">
        <v>9</v>
      </c>
      <c r="K335" s="5">
        <v>46084.0</v>
      </c>
      <c r="L335" s="11" t="s">
        <v>784</v>
      </c>
      <c r="M335" s="7" t="str">
        <f>IFERROR(__xludf.DUMMYFUNCTION("TEXT(
  IF(RIGHT(A335,2)=""mo"",
    EDATE(DATEVALUE(K335), -VALUE(REGEXEXTRACT(A335,""\d+""))),
    DATEVALUE(K335) - IF(RIGHT(A335,1)=""h"", VALUE(REGEXEXTRACT(A335,""\d+""))/24,
         IF(RIGHT(A335,1)=""d"", VALUE(REGEXEXTRACT(A335,""\d+"")),
      "&amp;"   IF(RIGHT(A335,1)=""w"", VALUE(REGEXEXTRACT(A335,""\d+""))*7,
         0)))
  )
, ""YYYY-M-D"")"),"2026-1-3")</f>
        <v>2026-1-3</v>
      </c>
    </row>
    <row r="336">
      <c r="A336" s="10" t="s">
        <v>379</v>
      </c>
      <c r="B336" s="10" t="s">
        <v>1180</v>
      </c>
      <c r="C336" s="10" t="s">
        <v>15</v>
      </c>
      <c r="D336" s="10" t="s">
        <v>44</v>
      </c>
      <c r="E336" s="10" t="s">
        <v>17</v>
      </c>
      <c r="F336" s="10" t="s">
        <v>1181</v>
      </c>
      <c r="G336" s="10" t="s">
        <v>1182</v>
      </c>
      <c r="H336" s="10" t="s">
        <v>1183</v>
      </c>
      <c r="I336" s="10" t="s">
        <v>1184</v>
      </c>
      <c r="J336" s="10" t="s">
        <v>9</v>
      </c>
      <c r="K336" s="5">
        <v>46084.0</v>
      </c>
      <c r="L336" s="11" t="s">
        <v>784</v>
      </c>
      <c r="M336" s="7" t="str">
        <f>IFERROR(__xludf.DUMMYFUNCTION("TEXT(
  IF(RIGHT(A336,2)=""mo"",
    EDATE(DATEVALUE(K336), -VALUE(REGEXEXTRACT(A336,""\d+""))),
    DATEVALUE(K336) - IF(RIGHT(A336,1)=""h"", VALUE(REGEXEXTRACT(A336,""\d+""))/24,
         IF(RIGHT(A336,1)=""d"", VALUE(REGEXEXTRACT(A336,""\d+"")),
      "&amp;"   IF(RIGHT(A336,1)=""w"", VALUE(REGEXEXTRACT(A336,""\d+""))*7,
         0)))
  )
, ""YYYY-M-D"")"),"2026-2-3")</f>
        <v>2026-2-3</v>
      </c>
    </row>
    <row r="337">
      <c r="A337" s="10" t="s">
        <v>379</v>
      </c>
      <c r="B337" s="10" t="s">
        <v>1185</v>
      </c>
      <c r="C337" s="10" t="s">
        <v>15</v>
      </c>
      <c r="D337" s="10" t="s">
        <v>16</v>
      </c>
      <c r="E337" s="10" t="s">
        <v>17</v>
      </c>
      <c r="F337" s="10" t="s">
        <v>1186</v>
      </c>
      <c r="G337" s="10" t="s">
        <v>1187</v>
      </c>
      <c r="H337" s="10" t="s">
        <v>1188</v>
      </c>
      <c r="I337" s="10" t="s">
        <v>21</v>
      </c>
      <c r="J337" s="10" t="s">
        <v>9</v>
      </c>
      <c r="K337" s="5">
        <v>46084.0</v>
      </c>
      <c r="L337" s="11" t="s">
        <v>784</v>
      </c>
      <c r="M337" s="7" t="str">
        <f>IFERROR(__xludf.DUMMYFUNCTION("TEXT(
  IF(RIGHT(A337,2)=""mo"",
    EDATE(DATEVALUE(K337), -VALUE(REGEXEXTRACT(A337,""\d+""))),
    DATEVALUE(K337) - IF(RIGHT(A337,1)=""h"", VALUE(REGEXEXTRACT(A337,""\d+""))/24,
         IF(RIGHT(A337,1)=""d"", VALUE(REGEXEXTRACT(A337,""\d+"")),
      "&amp;"   IF(RIGHT(A337,1)=""w"", VALUE(REGEXEXTRACT(A337,""\d+""))*7,
         0)))
  )
, ""YYYY-M-D"")"),"2026-2-3")</f>
        <v>2026-2-3</v>
      </c>
    </row>
    <row r="338">
      <c r="A338" s="10" t="s">
        <v>379</v>
      </c>
      <c r="B338" s="10" t="s">
        <v>1189</v>
      </c>
      <c r="C338" s="10" t="s">
        <v>1190</v>
      </c>
      <c r="D338" s="10" t="s">
        <v>37</v>
      </c>
      <c r="E338" s="10" t="s">
        <v>67</v>
      </c>
      <c r="F338" s="10" t="s">
        <v>1191</v>
      </c>
      <c r="G338" s="10" t="s">
        <v>1192</v>
      </c>
      <c r="H338" s="10" t="s">
        <v>1193</v>
      </c>
      <c r="I338" s="10" t="s">
        <v>21</v>
      </c>
      <c r="J338" s="10" t="s">
        <v>9</v>
      </c>
      <c r="K338" s="5">
        <v>46084.0</v>
      </c>
      <c r="L338" s="11" t="s">
        <v>784</v>
      </c>
      <c r="M338" s="7" t="str">
        <f>IFERROR(__xludf.DUMMYFUNCTION("TEXT(
  IF(RIGHT(A338,2)=""mo"",
    EDATE(DATEVALUE(K338), -VALUE(REGEXEXTRACT(A338,""\d+""))),
    DATEVALUE(K338) - IF(RIGHT(A338,1)=""h"", VALUE(REGEXEXTRACT(A338,""\d+""))/24,
         IF(RIGHT(A338,1)=""d"", VALUE(REGEXEXTRACT(A338,""\d+"")),
      "&amp;"   IF(RIGHT(A338,1)=""w"", VALUE(REGEXEXTRACT(A338,""\d+""))*7,
         0)))
  )
, ""YYYY-M-D"")"),"2026-2-3")</f>
        <v>2026-2-3</v>
      </c>
    </row>
    <row r="339">
      <c r="A339" s="10" t="s">
        <v>173</v>
      </c>
      <c r="B339" s="10" t="s">
        <v>1194</v>
      </c>
      <c r="C339" s="10" t="s">
        <v>15</v>
      </c>
      <c r="D339" s="10" t="s">
        <v>16</v>
      </c>
      <c r="E339" s="10" t="s">
        <v>17</v>
      </c>
      <c r="F339" s="10" t="s">
        <v>1195</v>
      </c>
      <c r="G339" s="10" t="s">
        <v>1196</v>
      </c>
      <c r="H339" s="10" t="s">
        <v>1197</v>
      </c>
      <c r="I339" s="10" t="s">
        <v>1198</v>
      </c>
      <c r="J339" s="10" t="s">
        <v>9</v>
      </c>
      <c r="K339" s="5">
        <v>46084.0</v>
      </c>
      <c r="L339" s="11" t="s">
        <v>784</v>
      </c>
      <c r="M339" s="7" t="str">
        <f>IFERROR(__xludf.DUMMYFUNCTION("TEXT(
  IF(RIGHT(A339,2)=""mo"",
    EDATE(DATEVALUE(K339), -VALUE(REGEXEXTRACT(A339,""\d+""))),
    DATEVALUE(K339) - IF(RIGHT(A339,1)=""h"", VALUE(REGEXEXTRACT(A339,""\d+""))/24,
         IF(RIGHT(A339,1)=""d"", VALUE(REGEXEXTRACT(A339,""\d+"")),
      "&amp;"   IF(RIGHT(A339,1)=""w"", VALUE(REGEXEXTRACT(A339,""\d+""))*7,
         0)))
  )
, ""YYYY-M-D"")"),"2026-2-24")</f>
        <v>2026-2-24</v>
      </c>
    </row>
    <row r="340">
      <c r="A340" s="10" t="s">
        <v>379</v>
      </c>
      <c r="B340" s="10" t="s">
        <v>1199</v>
      </c>
      <c r="C340" s="10" t="s">
        <v>15</v>
      </c>
      <c r="D340" s="10" t="s">
        <v>37</v>
      </c>
      <c r="E340" s="10" t="s">
        <v>17</v>
      </c>
      <c r="F340" s="10" t="s">
        <v>1200</v>
      </c>
      <c r="G340" s="10" t="s">
        <v>1201</v>
      </c>
      <c r="H340" s="10" t="s">
        <v>1202</v>
      </c>
      <c r="I340" s="10" t="s">
        <v>1203</v>
      </c>
      <c r="J340" s="10" t="s">
        <v>9</v>
      </c>
      <c r="K340" s="5">
        <v>46084.0</v>
      </c>
      <c r="L340" s="11" t="s">
        <v>784</v>
      </c>
      <c r="M340" s="7" t="str">
        <f>IFERROR(__xludf.DUMMYFUNCTION("TEXT(
  IF(RIGHT(A340,2)=""mo"",
    EDATE(DATEVALUE(K340), -VALUE(REGEXEXTRACT(A340,""\d+""))),
    DATEVALUE(K340) - IF(RIGHT(A340,1)=""h"", VALUE(REGEXEXTRACT(A340,""\d+""))/24,
         IF(RIGHT(A340,1)=""d"", VALUE(REGEXEXTRACT(A340,""\d+"")),
      "&amp;"   IF(RIGHT(A340,1)=""w"", VALUE(REGEXEXTRACT(A340,""\d+""))*7,
         0)))
  )
, ""YYYY-M-D"")"),"2026-2-3")</f>
        <v>2026-2-3</v>
      </c>
    </row>
    <row r="341">
      <c r="A341" s="10" t="s">
        <v>379</v>
      </c>
      <c r="B341" s="10" t="s">
        <v>1084</v>
      </c>
      <c r="C341" s="10" t="s">
        <v>15</v>
      </c>
      <c r="D341" s="10" t="s">
        <v>44</v>
      </c>
      <c r="E341" s="10" t="s">
        <v>17</v>
      </c>
      <c r="F341" s="10" t="s">
        <v>1204</v>
      </c>
      <c r="G341" s="10" t="s">
        <v>1205</v>
      </c>
      <c r="H341" s="10" t="s">
        <v>1206</v>
      </c>
      <c r="I341" s="10" t="s">
        <v>1088</v>
      </c>
      <c r="J341" s="10" t="s">
        <v>9</v>
      </c>
      <c r="K341" s="5">
        <v>46084.0</v>
      </c>
      <c r="L341" s="11" t="s">
        <v>784</v>
      </c>
      <c r="M341" s="7" t="str">
        <f>IFERROR(__xludf.DUMMYFUNCTION("TEXT(
  IF(RIGHT(A341,2)=""mo"",
    EDATE(DATEVALUE(K341), -VALUE(REGEXEXTRACT(A341,""\d+""))),
    DATEVALUE(K341) - IF(RIGHT(A341,1)=""h"", VALUE(REGEXEXTRACT(A341,""\d+""))/24,
         IF(RIGHT(A341,1)=""d"", VALUE(REGEXEXTRACT(A341,""\d+"")),
      "&amp;"   IF(RIGHT(A341,1)=""w"", VALUE(REGEXEXTRACT(A341,""\d+""))*7,
         0)))
  )
, ""YYYY-M-D"")"),"2026-2-3")</f>
        <v>2026-2-3</v>
      </c>
    </row>
    <row r="342">
      <c r="A342" s="10" t="s">
        <v>379</v>
      </c>
      <c r="B342" s="10" t="s">
        <v>1207</v>
      </c>
      <c r="C342" s="10" t="s">
        <v>1208</v>
      </c>
      <c r="D342" s="10" t="s">
        <v>37</v>
      </c>
      <c r="E342" s="10" t="s">
        <v>17</v>
      </c>
      <c r="F342" s="10" t="s">
        <v>1209</v>
      </c>
      <c r="G342" s="10" t="s">
        <v>1210</v>
      </c>
      <c r="H342" s="10" t="s">
        <v>1211</v>
      </c>
      <c r="I342" s="10" t="s">
        <v>21</v>
      </c>
      <c r="J342" s="10" t="s">
        <v>9</v>
      </c>
      <c r="K342" s="5">
        <v>46084.0</v>
      </c>
      <c r="L342" s="11" t="s">
        <v>784</v>
      </c>
      <c r="M342" s="7" t="str">
        <f>IFERROR(__xludf.DUMMYFUNCTION("TEXT(
  IF(RIGHT(A342,2)=""mo"",
    EDATE(DATEVALUE(K342), -VALUE(REGEXEXTRACT(A342,""\d+""))),
    DATEVALUE(K342) - IF(RIGHT(A342,1)=""h"", VALUE(REGEXEXTRACT(A342,""\d+""))/24,
         IF(RIGHT(A342,1)=""d"", VALUE(REGEXEXTRACT(A342,""\d+"")),
      "&amp;"   IF(RIGHT(A342,1)=""w"", VALUE(REGEXEXTRACT(A342,""\d+""))*7,
         0)))
  )
, ""YYYY-M-D"")"),"2026-2-3")</f>
        <v>2026-2-3</v>
      </c>
    </row>
    <row r="343">
      <c r="A343" s="10" t="s">
        <v>379</v>
      </c>
      <c r="B343" s="10" t="s">
        <v>1212</v>
      </c>
      <c r="C343" s="10" t="s">
        <v>15</v>
      </c>
      <c r="D343" s="10" t="s">
        <v>16</v>
      </c>
      <c r="E343" s="10" t="s">
        <v>17</v>
      </c>
      <c r="F343" s="10" t="s">
        <v>686</v>
      </c>
      <c r="G343" s="10" t="s">
        <v>687</v>
      </c>
      <c r="H343" s="10" t="s">
        <v>1213</v>
      </c>
      <c r="I343" s="10" t="s">
        <v>1214</v>
      </c>
      <c r="J343" s="10" t="s">
        <v>9</v>
      </c>
      <c r="K343" s="5">
        <v>46084.0</v>
      </c>
      <c r="L343" s="11" t="s">
        <v>784</v>
      </c>
      <c r="M343" s="7" t="str">
        <f>IFERROR(__xludf.DUMMYFUNCTION("TEXT(
  IF(RIGHT(A343,2)=""mo"",
    EDATE(DATEVALUE(K343), -VALUE(REGEXEXTRACT(A343,""\d+""))),
    DATEVALUE(K343) - IF(RIGHT(A343,1)=""h"", VALUE(REGEXEXTRACT(A343,""\d+""))/24,
         IF(RIGHT(A343,1)=""d"", VALUE(REGEXEXTRACT(A343,""\d+"")),
      "&amp;"   IF(RIGHT(A343,1)=""w"", VALUE(REGEXEXTRACT(A343,""\d+""))*7,
         0)))
  )
, ""YYYY-M-D"")"),"2026-2-3")</f>
        <v>2026-2-3</v>
      </c>
    </row>
    <row r="344">
      <c r="A344" s="10" t="s">
        <v>239</v>
      </c>
      <c r="B344" s="10" t="s">
        <v>1215</v>
      </c>
      <c r="C344" s="10" t="s">
        <v>15</v>
      </c>
      <c r="D344" s="10" t="s">
        <v>44</v>
      </c>
      <c r="E344" s="10" t="s">
        <v>17</v>
      </c>
      <c r="F344" s="10" t="s">
        <v>1216</v>
      </c>
      <c r="G344" s="10" t="s">
        <v>1217</v>
      </c>
      <c r="H344" s="10" t="s">
        <v>1218</v>
      </c>
      <c r="I344" s="10" t="s">
        <v>1219</v>
      </c>
      <c r="J344" s="10" t="s">
        <v>9</v>
      </c>
      <c r="K344" s="5">
        <v>46084.0</v>
      </c>
      <c r="L344" s="11" t="s">
        <v>784</v>
      </c>
      <c r="M344" s="7" t="str">
        <f>IFERROR(__xludf.DUMMYFUNCTION("TEXT(
  IF(RIGHT(A344,2)=""mo"",
    EDATE(DATEVALUE(K344), -VALUE(REGEXEXTRACT(A344,""\d+""))),
    DATEVALUE(K344) - IF(RIGHT(A344,1)=""h"", VALUE(REGEXEXTRACT(A344,""\d+""))/24,
         IF(RIGHT(A344,1)=""d"", VALUE(REGEXEXTRACT(A344,""\d+"")),
      "&amp;"   IF(RIGHT(A344,1)=""w"", VALUE(REGEXEXTRACT(A344,""\d+""))*7,
         0)))
  )
, ""YYYY-M-D"")"),"2026-2-17")</f>
        <v>2026-2-17</v>
      </c>
    </row>
    <row r="345">
      <c r="A345" s="10" t="s">
        <v>379</v>
      </c>
      <c r="B345" s="10" t="s">
        <v>1220</v>
      </c>
      <c r="C345" s="10" t="s">
        <v>1221</v>
      </c>
      <c r="D345" s="10" t="s">
        <v>16</v>
      </c>
      <c r="E345" s="10" t="s">
        <v>17</v>
      </c>
      <c r="F345" s="10" t="s">
        <v>1222</v>
      </c>
      <c r="G345" s="10" t="s">
        <v>1223</v>
      </c>
      <c r="H345" s="10" t="s">
        <v>1224</v>
      </c>
      <c r="I345" s="10" t="s">
        <v>1225</v>
      </c>
      <c r="J345" s="10" t="s">
        <v>9</v>
      </c>
      <c r="K345" s="5">
        <v>46084.0</v>
      </c>
      <c r="L345" s="11" t="s">
        <v>784</v>
      </c>
      <c r="M345" s="7" t="str">
        <f>IFERROR(__xludf.DUMMYFUNCTION("TEXT(
  IF(RIGHT(A345,2)=""mo"",
    EDATE(DATEVALUE(K345), -VALUE(REGEXEXTRACT(A345,""\d+""))),
    DATEVALUE(K345) - IF(RIGHT(A345,1)=""h"", VALUE(REGEXEXTRACT(A345,""\d+""))/24,
         IF(RIGHT(A345,1)=""d"", VALUE(REGEXEXTRACT(A345,""\d+"")),
      "&amp;"   IF(RIGHT(A345,1)=""w"", VALUE(REGEXEXTRACT(A345,""\d+""))*7,
         0)))
  )
, ""YYYY-M-D"")"),"2026-2-3")</f>
        <v>2026-2-3</v>
      </c>
    </row>
    <row r="346">
      <c r="A346" s="10" t="s">
        <v>144</v>
      </c>
      <c r="B346" s="10" t="s">
        <v>1226</v>
      </c>
      <c r="C346" s="10" t="s">
        <v>15</v>
      </c>
      <c r="D346" s="10" t="s">
        <v>16</v>
      </c>
      <c r="E346" s="10" t="s">
        <v>17</v>
      </c>
      <c r="F346" s="10" t="s">
        <v>1227</v>
      </c>
      <c r="G346" s="10" t="s">
        <v>1228</v>
      </c>
      <c r="H346" s="10" t="s">
        <v>1229</v>
      </c>
      <c r="I346" s="10" t="s">
        <v>1230</v>
      </c>
      <c r="J346" s="10" t="s">
        <v>9</v>
      </c>
      <c r="K346" s="5">
        <v>46084.0</v>
      </c>
      <c r="L346" s="11" t="s">
        <v>784</v>
      </c>
      <c r="M346" s="7" t="str">
        <f>IFERROR(__xludf.DUMMYFUNCTION("TEXT(
  IF(RIGHT(A346,2)=""mo"",
    EDATE(DATEVALUE(K346), -VALUE(REGEXEXTRACT(A346,""\d+""))),
    DATEVALUE(K346) - IF(RIGHT(A346,1)=""h"", VALUE(REGEXEXTRACT(A346,""\d+""))/24,
         IF(RIGHT(A346,1)=""d"", VALUE(REGEXEXTRACT(A346,""\d+"")),
      "&amp;"   IF(RIGHT(A346,1)=""w"", VALUE(REGEXEXTRACT(A346,""\d+""))*7,
         0)))
  )
, ""YYYY-M-D"")"),"2026-2-25")</f>
        <v>2026-2-25</v>
      </c>
    </row>
    <row r="347">
      <c r="A347" s="10" t="s">
        <v>581</v>
      </c>
      <c r="B347" s="10" t="s">
        <v>1231</v>
      </c>
      <c r="C347" s="10" t="s">
        <v>15</v>
      </c>
      <c r="D347" s="10" t="s">
        <v>44</v>
      </c>
      <c r="E347" s="10" t="s">
        <v>17</v>
      </c>
      <c r="F347" s="10" t="s">
        <v>1232</v>
      </c>
      <c r="G347" s="10" t="s">
        <v>1233</v>
      </c>
      <c r="H347" s="10" t="s">
        <v>1234</v>
      </c>
      <c r="I347" s="10" t="s">
        <v>1235</v>
      </c>
      <c r="J347" s="10" t="s">
        <v>9</v>
      </c>
      <c r="K347" s="5">
        <v>46084.0</v>
      </c>
      <c r="L347" s="11" t="s">
        <v>784</v>
      </c>
      <c r="M347" s="7" t="str">
        <f>IFERROR(__xludf.DUMMYFUNCTION("TEXT(
  IF(RIGHT(A347,2)=""mo"",
    EDATE(DATEVALUE(K347), -VALUE(REGEXEXTRACT(A347,""\d+""))),
    DATEVALUE(K347) - IF(RIGHT(A347,1)=""h"", VALUE(REGEXEXTRACT(A347,""\d+""))/24,
         IF(RIGHT(A347,1)=""d"", VALUE(REGEXEXTRACT(A347,""\d+"")),
      "&amp;"   IF(RIGHT(A347,1)=""w"", VALUE(REGEXEXTRACT(A347,""\d+""))*7,
         0)))
  )
, ""YYYY-M-D"")"),"2026-1-3")</f>
        <v>2026-1-3</v>
      </c>
    </row>
    <row r="348">
      <c r="A348" s="10" t="s">
        <v>173</v>
      </c>
      <c r="B348" s="10" t="s">
        <v>1236</v>
      </c>
      <c r="C348" s="10" t="s">
        <v>1237</v>
      </c>
      <c r="D348" s="10" t="s">
        <v>16</v>
      </c>
      <c r="E348" s="10" t="s">
        <v>17</v>
      </c>
      <c r="F348" s="10" t="s">
        <v>1238</v>
      </c>
      <c r="G348" s="10" t="s">
        <v>1239</v>
      </c>
      <c r="H348" s="10" t="s">
        <v>1240</v>
      </c>
      <c r="I348" s="10" t="s">
        <v>1241</v>
      </c>
      <c r="J348" s="10" t="s">
        <v>9</v>
      </c>
      <c r="K348" s="5">
        <v>46084.0</v>
      </c>
      <c r="L348" s="11" t="s">
        <v>784</v>
      </c>
      <c r="M348" s="7" t="str">
        <f>IFERROR(__xludf.DUMMYFUNCTION("TEXT(
  IF(RIGHT(A348,2)=""mo"",
    EDATE(DATEVALUE(K348), -VALUE(REGEXEXTRACT(A348,""\d+""))),
    DATEVALUE(K348) - IF(RIGHT(A348,1)=""h"", VALUE(REGEXEXTRACT(A348,""\d+""))/24,
         IF(RIGHT(A348,1)=""d"", VALUE(REGEXEXTRACT(A348,""\d+"")),
      "&amp;"   IF(RIGHT(A348,1)=""w"", VALUE(REGEXEXTRACT(A348,""\d+""))*7,
         0)))
  )
, ""YYYY-M-D"")"),"2026-2-24")</f>
        <v>2026-2-24</v>
      </c>
    </row>
    <row r="349">
      <c r="A349" s="10" t="s">
        <v>581</v>
      </c>
      <c r="B349" s="10" t="s">
        <v>1242</v>
      </c>
      <c r="C349" s="10" t="s">
        <v>15</v>
      </c>
      <c r="D349" s="10" t="s">
        <v>37</v>
      </c>
      <c r="E349" s="10" t="s">
        <v>17</v>
      </c>
      <c r="F349" s="10" t="s">
        <v>1243</v>
      </c>
      <c r="G349" s="10" t="s">
        <v>1244</v>
      </c>
      <c r="H349" s="10" t="s">
        <v>1245</v>
      </c>
      <c r="I349" s="10" t="s">
        <v>21</v>
      </c>
      <c r="J349" s="10" t="s">
        <v>9</v>
      </c>
      <c r="K349" s="5">
        <v>46084.0</v>
      </c>
      <c r="L349" s="11" t="s">
        <v>784</v>
      </c>
      <c r="M349" s="7" t="str">
        <f>IFERROR(__xludf.DUMMYFUNCTION("TEXT(
  IF(RIGHT(A349,2)=""mo"",
    EDATE(DATEVALUE(K349), -VALUE(REGEXEXTRACT(A349,""\d+""))),
    DATEVALUE(K349) - IF(RIGHT(A349,1)=""h"", VALUE(REGEXEXTRACT(A349,""\d+""))/24,
         IF(RIGHT(A349,1)=""d"", VALUE(REGEXEXTRACT(A349,""\d+"")),
      "&amp;"   IF(RIGHT(A349,1)=""w"", VALUE(REGEXEXTRACT(A349,""\d+""))*7,
         0)))
  )
, ""YYYY-M-D"")"),"2026-1-3")</f>
        <v>2026-1-3</v>
      </c>
    </row>
    <row r="350">
      <c r="A350" s="10" t="s">
        <v>581</v>
      </c>
      <c r="B350" s="10" t="s">
        <v>1246</v>
      </c>
      <c r="C350" s="10" t="s">
        <v>15</v>
      </c>
      <c r="D350" s="10" t="s">
        <v>44</v>
      </c>
      <c r="E350" s="10" t="s">
        <v>17</v>
      </c>
      <c r="F350" s="10" t="s">
        <v>1247</v>
      </c>
      <c r="G350" s="10" t="s">
        <v>1248</v>
      </c>
      <c r="H350" s="10" t="s">
        <v>1249</v>
      </c>
      <c r="I350" s="10" t="s">
        <v>1250</v>
      </c>
      <c r="J350" s="10" t="s">
        <v>9</v>
      </c>
      <c r="K350" s="5">
        <v>46084.0</v>
      </c>
      <c r="L350" s="11" t="s">
        <v>784</v>
      </c>
      <c r="M350" s="7" t="str">
        <f>IFERROR(__xludf.DUMMYFUNCTION("TEXT(
  IF(RIGHT(A350,2)=""mo"",
    EDATE(DATEVALUE(K350), -VALUE(REGEXEXTRACT(A350,""\d+""))),
    DATEVALUE(K350) - IF(RIGHT(A350,1)=""h"", VALUE(REGEXEXTRACT(A350,""\d+""))/24,
         IF(RIGHT(A350,1)=""d"", VALUE(REGEXEXTRACT(A350,""\d+"")),
      "&amp;"   IF(RIGHT(A350,1)=""w"", VALUE(REGEXEXTRACT(A350,""\d+""))*7,
         0)))
  )
, ""YYYY-M-D"")"),"2026-1-3")</f>
        <v>2026-1-3</v>
      </c>
    </row>
    <row r="351">
      <c r="A351" s="10" t="s">
        <v>173</v>
      </c>
      <c r="B351" s="10" t="s">
        <v>1251</v>
      </c>
      <c r="C351" s="10" t="s">
        <v>15</v>
      </c>
      <c r="D351" s="10" t="s">
        <v>16</v>
      </c>
      <c r="E351" s="10" t="s">
        <v>17</v>
      </c>
      <c r="F351" s="10" t="s">
        <v>1252</v>
      </c>
      <c r="G351" s="10" t="s">
        <v>1253</v>
      </c>
      <c r="H351" s="10" t="s">
        <v>1254</v>
      </c>
      <c r="I351" s="10" t="s">
        <v>1255</v>
      </c>
      <c r="J351" s="10" t="s">
        <v>9</v>
      </c>
      <c r="K351" s="5">
        <v>46084.0</v>
      </c>
      <c r="L351" s="11" t="s">
        <v>784</v>
      </c>
      <c r="M351" s="7" t="str">
        <f>IFERROR(__xludf.DUMMYFUNCTION("TEXT(
  IF(RIGHT(A351,2)=""mo"",
    EDATE(DATEVALUE(K351), -VALUE(REGEXEXTRACT(A351,""\d+""))),
    DATEVALUE(K351) - IF(RIGHT(A351,1)=""h"", VALUE(REGEXEXTRACT(A351,""\d+""))/24,
         IF(RIGHT(A351,1)=""d"", VALUE(REGEXEXTRACT(A351,""\d+"")),
      "&amp;"   IF(RIGHT(A351,1)=""w"", VALUE(REGEXEXTRACT(A351,""\d+""))*7,
         0)))
  )
, ""YYYY-M-D"")"),"2026-2-24")</f>
        <v>2026-2-24</v>
      </c>
    </row>
    <row r="352">
      <c r="A352" s="10" t="s">
        <v>379</v>
      </c>
      <c r="B352" s="10" t="s">
        <v>1256</v>
      </c>
      <c r="C352" s="10" t="s">
        <v>268</v>
      </c>
      <c r="D352" s="10" t="s">
        <v>37</v>
      </c>
      <c r="E352" s="10" t="s">
        <v>17</v>
      </c>
      <c r="F352" s="10" t="s">
        <v>1257</v>
      </c>
      <c r="G352" s="10" t="s">
        <v>1258</v>
      </c>
      <c r="H352" s="10" t="s">
        <v>1259</v>
      </c>
      <c r="I352" s="10" t="s">
        <v>1260</v>
      </c>
      <c r="J352" s="10" t="s">
        <v>9</v>
      </c>
      <c r="K352" s="5">
        <v>46084.0</v>
      </c>
      <c r="L352" s="11" t="s">
        <v>784</v>
      </c>
      <c r="M352" s="7" t="str">
        <f>IFERROR(__xludf.DUMMYFUNCTION("TEXT(
  IF(RIGHT(A352,2)=""mo"",
    EDATE(DATEVALUE(K352), -VALUE(REGEXEXTRACT(A352,""\d+""))),
    DATEVALUE(K352) - IF(RIGHT(A352,1)=""h"", VALUE(REGEXEXTRACT(A352,""\d+""))/24,
         IF(RIGHT(A352,1)=""d"", VALUE(REGEXEXTRACT(A352,""\d+"")),
      "&amp;"   IF(RIGHT(A352,1)=""w"", VALUE(REGEXEXTRACT(A352,""\d+""))*7,
         0)))
  )
, ""YYYY-M-D"")"),"2026-2-3")</f>
        <v>2026-2-3</v>
      </c>
    </row>
    <row r="353">
      <c r="A353" s="10" t="s">
        <v>581</v>
      </c>
      <c r="B353" s="10" t="s">
        <v>1261</v>
      </c>
      <c r="C353" s="10" t="s">
        <v>15</v>
      </c>
      <c r="D353" s="10" t="s">
        <v>44</v>
      </c>
      <c r="E353" s="10" t="s">
        <v>61</v>
      </c>
      <c r="F353" s="10" t="s">
        <v>1262</v>
      </c>
      <c r="G353" s="10" t="s">
        <v>1263</v>
      </c>
      <c r="H353" s="10" t="s">
        <v>1264</v>
      </c>
      <c r="I353" s="10" t="s">
        <v>21</v>
      </c>
      <c r="J353" s="10" t="s">
        <v>9</v>
      </c>
      <c r="K353" s="5">
        <v>46084.0</v>
      </c>
      <c r="L353" s="11" t="s">
        <v>784</v>
      </c>
      <c r="M353" s="7" t="str">
        <f>IFERROR(__xludf.DUMMYFUNCTION("TEXT(
  IF(RIGHT(A353,2)=""mo"",
    EDATE(DATEVALUE(K353), -VALUE(REGEXEXTRACT(A353,""\d+""))),
    DATEVALUE(K353) - IF(RIGHT(A353,1)=""h"", VALUE(REGEXEXTRACT(A353,""\d+""))/24,
         IF(RIGHT(A353,1)=""d"", VALUE(REGEXEXTRACT(A353,""\d+"")),
      "&amp;"   IF(RIGHT(A353,1)=""w"", VALUE(REGEXEXTRACT(A353,""\d+""))*7,
         0)))
  )
, ""YYYY-M-D"")"),"2026-1-3")</f>
        <v>2026-1-3</v>
      </c>
    </row>
    <row r="354">
      <c r="A354" s="10" t="s">
        <v>59</v>
      </c>
      <c r="B354" s="10" t="s">
        <v>1265</v>
      </c>
      <c r="C354" s="10" t="s">
        <v>15</v>
      </c>
      <c r="D354" s="10" t="s">
        <v>16</v>
      </c>
      <c r="E354" s="10" t="s">
        <v>30</v>
      </c>
      <c r="F354" s="10" t="s">
        <v>1266</v>
      </c>
      <c r="G354" s="10" t="s">
        <v>1267</v>
      </c>
      <c r="H354" s="10" t="s">
        <v>1268</v>
      </c>
      <c r="I354" s="10" t="s">
        <v>1269</v>
      </c>
      <c r="J354" s="10" t="s">
        <v>9</v>
      </c>
      <c r="K354" s="5">
        <v>46084.0</v>
      </c>
      <c r="L354" s="11" t="s">
        <v>784</v>
      </c>
      <c r="M354" s="7" t="str">
        <f>IFERROR(__xludf.DUMMYFUNCTION("TEXT(
  IF(RIGHT(A354,2)=""mo"",
    EDATE(DATEVALUE(K354), -VALUE(REGEXEXTRACT(A354,""\d+""))),
    DATEVALUE(K354) - IF(RIGHT(A354,1)=""h"", VALUE(REGEXEXTRACT(A354,""\d+""))/24,
         IF(RIGHT(A354,1)=""d"", VALUE(REGEXEXTRACT(A354,""\d+"")),
      "&amp;"   IF(RIGHT(A354,1)=""w"", VALUE(REGEXEXTRACT(A354,""\d+""))*7,
         0)))
  )
, ""YYYY-M-D"")"),"2026-2-27")</f>
        <v>2026-2-27</v>
      </c>
    </row>
    <row r="355">
      <c r="A355" s="10" t="s">
        <v>173</v>
      </c>
      <c r="B355" s="10" t="s">
        <v>1270</v>
      </c>
      <c r="C355" s="10" t="s">
        <v>691</v>
      </c>
      <c r="D355" s="10" t="s">
        <v>44</v>
      </c>
      <c r="E355" s="10" t="s">
        <v>61</v>
      </c>
      <c r="F355" s="10" t="s">
        <v>1271</v>
      </c>
      <c r="G355" s="10" t="s">
        <v>1272</v>
      </c>
      <c r="H355" s="10" t="s">
        <v>1273</v>
      </c>
      <c r="I355" s="10" t="s">
        <v>1274</v>
      </c>
      <c r="J355" s="10" t="s">
        <v>9</v>
      </c>
      <c r="K355" s="5">
        <v>46084.0</v>
      </c>
      <c r="L355" s="11" t="s">
        <v>784</v>
      </c>
      <c r="M355" s="7" t="str">
        <f>IFERROR(__xludf.DUMMYFUNCTION("TEXT(
  IF(RIGHT(A355,2)=""mo"",
    EDATE(DATEVALUE(K355), -VALUE(REGEXEXTRACT(A355,""\d+""))),
    DATEVALUE(K355) - IF(RIGHT(A355,1)=""h"", VALUE(REGEXEXTRACT(A355,""\d+""))/24,
         IF(RIGHT(A355,1)=""d"", VALUE(REGEXEXTRACT(A355,""\d+"")),
      "&amp;"   IF(RIGHT(A355,1)=""w"", VALUE(REGEXEXTRACT(A355,""\d+""))*7,
         0)))
  )
, ""YYYY-M-D"")"),"2026-2-24")</f>
        <v>2026-2-24</v>
      </c>
    </row>
    <row r="356">
      <c r="A356" s="10" t="s">
        <v>379</v>
      </c>
      <c r="B356" s="10" t="s">
        <v>1275</v>
      </c>
      <c r="C356" s="10" t="s">
        <v>15</v>
      </c>
      <c r="D356" s="10" t="s">
        <v>44</v>
      </c>
      <c r="E356" s="10" t="s">
        <v>17</v>
      </c>
      <c r="F356" s="10" t="s">
        <v>738</v>
      </c>
      <c r="G356" s="10" t="s">
        <v>739</v>
      </c>
      <c r="H356" s="10" t="s">
        <v>1276</v>
      </c>
      <c r="I356" s="10" t="s">
        <v>1277</v>
      </c>
      <c r="J356" s="10" t="s">
        <v>9</v>
      </c>
      <c r="K356" s="5">
        <v>46084.0</v>
      </c>
      <c r="L356" s="11" t="s">
        <v>784</v>
      </c>
      <c r="M356" s="7" t="str">
        <f>IFERROR(__xludf.DUMMYFUNCTION("TEXT(
  IF(RIGHT(A356,2)=""mo"",
    EDATE(DATEVALUE(K356), -VALUE(REGEXEXTRACT(A356,""\d+""))),
    DATEVALUE(K356) - IF(RIGHT(A356,1)=""h"", VALUE(REGEXEXTRACT(A356,""\d+""))/24,
         IF(RIGHT(A356,1)=""d"", VALUE(REGEXEXTRACT(A356,""\d+"")),
      "&amp;"   IF(RIGHT(A356,1)=""w"", VALUE(REGEXEXTRACT(A356,""\d+""))*7,
         0)))
  )
, ""YYYY-M-D"")"),"2026-2-3")</f>
        <v>2026-2-3</v>
      </c>
    </row>
    <row r="357">
      <c r="A357" s="10" t="s">
        <v>581</v>
      </c>
      <c r="B357" s="10" t="s">
        <v>1278</v>
      </c>
      <c r="C357" s="10" t="s">
        <v>15</v>
      </c>
      <c r="D357" s="10" t="s">
        <v>16</v>
      </c>
      <c r="E357" s="10" t="s">
        <v>17</v>
      </c>
      <c r="F357" s="10" t="s">
        <v>1279</v>
      </c>
      <c r="G357" s="10" t="s">
        <v>1280</v>
      </c>
      <c r="H357" s="10" t="s">
        <v>1281</v>
      </c>
      <c r="I357" s="10" t="s">
        <v>21</v>
      </c>
      <c r="J357" s="10" t="s">
        <v>9</v>
      </c>
      <c r="K357" s="5">
        <v>46084.0</v>
      </c>
      <c r="L357" s="11" t="s">
        <v>784</v>
      </c>
      <c r="M357" s="7" t="str">
        <f>IFERROR(__xludf.DUMMYFUNCTION("TEXT(
  IF(RIGHT(A357,2)=""mo"",
    EDATE(DATEVALUE(K357), -VALUE(REGEXEXTRACT(A357,""\d+""))),
    DATEVALUE(K357) - IF(RIGHT(A357,1)=""h"", VALUE(REGEXEXTRACT(A357,""\d+""))/24,
         IF(RIGHT(A357,1)=""d"", VALUE(REGEXEXTRACT(A357,""\d+"")),
      "&amp;"   IF(RIGHT(A357,1)=""w"", VALUE(REGEXEXTRACT(A357,""\d+""))*7,
         0)))
  )
, ""YYYY-M-D"")"),"2026-1-3")</f>
        <v>2026-1-3</v>
      </c>
    </row>
    <row r="358">
      <c r="A358" s="10" t="s">
        <v>379</v>
      </c>
      <c r="B358" s="10" t="s">
        <v>1282</v>
      </c>
      <c r="C358" s="10" t="s">
        <v>1283</v>
      </c>
      <c r="D358" s="10" t="s">
        <v>1284</v>
      </c>
      <c r="E358" s="10" t="s">
        <v>16</v>
      </c>
      <c r="F358" s="10" t="s">
        <v>17</v>
      </c>
      <c r="G358" s="10" t="s">
        <v>1285</v>
      </c>
      <c r="H358" s="10" t="s">
        <v>1286</v>
      </c>
      <c r="I358" s="10" t="s">
        <v>1287</v>
      </c>
      <c r="J358" s="10" t="s">
        <v>9</v>
      </c>
      <c r="K358" s="5">
        <v>46084.0</v>
      </c>
      <c r="L358" s="11" t="s">
        <v>784</v>
      </c>
      <c r="M358" s="7" t="str">
        <f>IFERROR(__xludf.DUMMYFUNCTION("TEXT(
  IF(RIGHT(A358,2)=""mo"",
    EDATE(DATEVALUE(K358), -VALUE(REGEXEXTRACT(A358,""\d+""))),
    DATEVALUE(K358) - IF(RIGHT(A358,1)=""h"", VALUE(REGEXEXTRACT(A358,""\d+""))/24,
         IF(RIGHT(A358,1)=""d"", VALUE(REGEXEXTRACT(A358,""\d+"")),
      "&amp;"   IF(RIGHT(A358,1)=""w"", VALUE(REGEXEXTRACT(A358,""\d+""))*7,
         0)))
  )
, ""YYYY-M-D"")"),"2026-2-3")</f>
        <v>2026-2-3</v>
      </c>
    </row>
    <row r="359">
      <c r="A359" s="10" t="s">
        <v>379</v>
      </c>
      <c r="B359" s="10" t="s">
        <v>1084</v>
      </c>
      <c r="C359" s="10" t="s">
        <v>15</v>
      </c>
      <c r="D359" s="10" t="s">
        <v>44</v>
      </c>
      <c r="E359" s="10" t="s">
        <v>17</v>
      </c>
      <c r="F359" s="10" t="s">
        <v>1204</v>
      </c>
      <c r="G359" s="10" t="s">
        <v>1288</v>
      </c>
      <c r="H359" s="10" t="s">
        <v>1289</v>
      </c>
      <c r="I359" s="10" t="s">
        <v>1290</v>
      </c>
      <c r="J359" s="10" t="s">
        <v>9</v>
      </c>
      <c r="K359" s="5">
        <v>46084.0</v>
      </c>
      <c r="L359" s="11" t="s">
        <v>784</v>
      </c>
      <c r="M359" s="7" t="str">
        <f>IFERROR(__xludf.DUMMYFUNCTION("TEXT(
  IF(RIGHT(A359,2)=""mo"",
    EDATE(DATEVALUE(K359), -VALUE(REGEXEXTRACT(A359,""\d+""))),
    DATEVALUE(K359) - IF(RIGHT(A359,1)=""h"", VALUE(REGEXEXTRACT(A359,""\d+""))/24,
         IF(RIGHT(A359,1)=""d"", VALUE(REGEXEXTRACT(A359,""\d+"")),
      "&amp;"   IF(RIGHT(A359,1)=""w"", VALUE(REGEXEXTRACT(A359,""\d+""))*7,
         0)))
  )
, ""YYYY-M-D"")"),"2026-2-3")</f>
        <v>2026-2-3</v>
      </c>
    </row>
    <row r="360">
      <c r="A360" s="10" t="s">
        <v>379</v>
      </c>
      <c r="B360" s="10" t="s">
        <v>1291</v>
      </c>
      <c r="C360" s="10" t="s">
        <v>15</v>
      </c>
      <c r="D360" s="10" t="s">
        <v>16</v>
      </c>
      <c r="E360" s="10" t="s">
        <v>17</v>
      </c>
      <c r="F360" s="10" t="s">
        <v>1292</v>
      </c>
      <c r="G360" s="10" t="s">
        <v>1293</v>
      </c>
      <c r="H360" s="10" t="s">
        <v>1294</v>
      </c>
      <c r="I360" s="10" t="s">
        <v>1295</v>
      </c>
      <c r="J360" s="10" t="s">
        <v>9</v>
      </c>
      <c r="K360" s="5">
        <v>46084.0</v>
      </c>
      <c r="L360" s="11" t="s">
        <v>784</v>
      </c>
      <c r="M360" s="7" t="str">
        <f>IFERROR(__xludf.DUMMYFUNCTION("TEXT(
  IF(RIGHT(A360,2)=""mo"",
    EDATE(DATEVALUE(K360), -VALUE(REGEXEXTRACT(A360,""\d+""))),
    DATEVALUE(K360) - IF(RIGHT(A360,1)=""h"", VALUE(REGEXEXTRACT(A360,""\d+""))/24,
         IF(RIGHT(A360,1)=""d"", VALUE(REGEXEXTRACT(A360,""\d+"")),
      "&amp;"   IF(RIGHT(A360,1)=""w"", VALUE(REGEXEXTRACT(A360,""\d+""))*7,
         0)))
  )
, ""YYYY-M-D"")"),"2026-2-3")</f>
        <v>2026-2-3</v>
      </c>
    </row>
    <row r="361">
      <c r="A361" s="10" t="s">
        <v>173</v>
      </c>
      <c r="B361" s="10" t="s">
        <v>1296</v>
      </c>
      <c r="C361" s="10" t="s">
        <v>1297</v>
      </c>
      <c r="D361" s="10" t="s">
        <v>44</v>
      </c>
      <c r="E361" s="10" t="s">
        <v>1298</v>
      </c>
      <c r="F361" s="10" t="s">
        <v>1299</v>
      </c>
      <c r="G361" s="10" t="s">
        <v>1300</v>
      </c>
      <c r="H361" s="10" t="s">
        <v>1301</v>
      </c>
      <c r="I361" s="10" t="s">
        <v>1302</v>
      </c>
      <c r="J361" s="10" t="s">
        <v>9</v>
      </c>
      <c r="K361" s="5">
        <v>46084.0</v>
      </c>
      <c r="L361" s="11" t="s">
        <v>784</v>
      </c>
      <c r="M361" s="7" t="str">
        <f>IFERROR(__xludf.DUMMYFUNCTION("TEXT(
  IF(RIGHT(A361,2)=""mo"",
    EDATE(DATEVALUE(K361), -VALUE(REGEXEXTRACT(A361,""\d+""))),
    DATEVALUE(K361) - IF(RIGHT(A361,1)=""h"", VALUE(REGEXEXTRACT(A361,""\d+""))/24,
         IF(RIGHT(A361,1)=""d"", VALUE(REGEXEXTRACT(A361,""\d+"")),
      "&amp;"   IF(RIGHT(A361,1)=""w"", VALUE(REGEXEXTRACT(A361,""\d+""))*7,
         0)))
  )
, ""YYYY-M-D"")"),"2026-2-24")</f>
        <v>2026-2-24</v>
      </c>
    </row>
    <row r="362">
      <c r="A362" s="10" t="s">
        <v>379</v>
      </c>
      <c r="B362" s="10" t="s">
        <v>1065</v>
      </c>
      <c r="C362" s="10" t="s">
        <v>15</v>
      </c>
      <c r="D362" s="10" t="s">
        <v>16</v>
      </c>
      <c r="E362" s="10" t="s">
        <v>17</v>
      </c>
      <c r="F362" s="10" t="s">
        <v>1303</v>
      </c>
      <c r="G362" s="10" t="s">
        <v>1304</v>
      </c>
      <c r="H362" s="10" t="s">
        <v>1305</v>
      </c>
      <c r="I362" s="10" t="s">
        <v>1306</v>
      </c>
      <c r="J362" s="10" t="s">
        <v>9</v>
      </c>
      <c r="K362" s="5">
        <v>46084.0</v>
      </c>
      <c r="L362" s="11" t="s">
        <v>784</v>
      </c>
      <c r="M362" s="7" t="str">
        <f>IFERROR(__xludf.DUMMYFUNCTION("TEXT(
  IF(RIGHT(A362,2)=""mo"",
    EDATE(DATEVALUE(K362), -VALUE(REGEXEXTRACT(A362,""\d+""))),
    DATEVALUE(K362) - IF(RIGHT(A362,1)=""h"", VALUE(REGEXEXTRACT(A362,""\d+""))/24,
         IF(RIGHT(A362,1)=""d"", VALUE(REGEXEXTRACT(A362,""\d+"")),
      "&amp;"   IF(RIGHT(A362,1)=""w"", VALUE(REGEXEXTRACT(A362,""\d+""))*7,
         0)))
  )
, ""YYYY-M-D"")"),"2026-2-3")</f>
        <v>2026-2-3</v>
      </c>
    </row>
    <row r="363">
      <c r="A363" s="10" t="s">
        <v>1307</v>
      </c>
      <c r="B363" s="10" t="s">
        <v>1308</v>
      </c>
      <c r="C363" s="10" t="s">
        <v>15</v>
      </c>
      <c r="D363" s="10" t="s">
        <v>16</v>
      </c>
      <c r="E363" s="10" t="s">
        <v>17</v>
      </c>
      <c r="F363" s="10" t="s">
        <v>697</v>
      </c>
      <c r="G363" s="10" t="s">
        <v>1309</v>
      </c>
      <c r="H363" s="10" t="s">
        <v>1310</v>
      </c>
      <c r="I363" s="10" t="s">
        <v>1311</v>
      </c>
      <c r="J363" s="10" t="s">
        <v>9</v>
      </c>
      <c r="K363" s="5">
        <v>46084.0</v>
      </c>
      <c r="L363" s="11" t="s">
        <v>784</v>
      </c>
      <c r="M363" s="7" t="str">
        <f>IFERROR(__xludf.DUMMYFUNCTION("TEXT(
  IF(RIGHT(A363,2)=""mo"",
    EDATE(DATEVALUE(K363), -VALUE(REGEXEXTRACT(A363,""\d+""))),
    DATEVALUE(K363) - IF(RIGHT(A363,1)=""h"", VALUE(REGEXEXTRACT(A363,""\d+""))/24,
         IF(RIGHT(A363,1)=""d"", VALUE(REGEXEXTRACT(A363,""\d+"")),
      "&amp;"   IF(RIGHT(A363,1)=""w"", VALUE(REGEXEXTRACT(A363,""\d+""))*7,
         0)))
  )
, ""YYYY-M-D"")"),"2026-3-2")</f>
        <v>2026-3-2</v>
      </c>
    </row>
    <row r="364">
      <c r="A364" s="10" t="s">
        <v>379</v>
      </c>
      <c r="B364" s="10" t="s">
        <v>1312</v>
      </c>
      <c r="C364" s="10" t="s">
        <v>15</v>
      </c>
      <c r="D364" s="10" t="s">
        <v>16</v>
      </c>
      <c r="E364" s="10" t="s">
        <v>17</v>
      </c>
      <c r="F364" s="10" t="s">
        <v>1313</v>
      </c>
      <c r="G364" s="10" t="s">
        <v>1314</v>
      </c>
      <c r="H364" s="10" t="s">
        <v>1315</v>
      </c>
      <c r="I364" s="10" t="s">
        <v>1316</v>
      </c>
      <c r="J364" s="10" t="s">
        <v>9</v>
      </c>
      <c r="K364" s="5">
        <v>46084.0</v>
      </c>
      <c r="L364" s="11" t="s">
        <v>784</v>
      </c>
      <c r="M364" s="7" t="str">
        <f>IFERROR(__xludf.DUMMYFUNCTION("TEXT(
  IF(RIGHT(A364,2)=""mo"",
    EDATE(DATEVALUE(K364), -VALUE(REGEXEXTRACT(A364,""\d+""))),
    DATEVALUE(K364) - IF(RIGHT(A364,1)=""h"", VALUE(REGEXEXTRACT(A364,""\d+""))/24,
         IF(RIGHT(A364,1)=""d"", VALUE(REGEXEXTRACT(A364,""\d+"")),
      "&amp;"   IF(RIGHT(A364,1)=""w"", VALUE(REGEXEXTRACT(A364,""\d+""))*7,
         0)))
  )
, ""YYYY-M-D"")"),"2026-2-3")</f>
        <v>2026-2-3</v>
      </c>
    </row>
    <row r="365">
      <c r="A365" s="10" t="s">
        <v>59</v>
      </c>
      <c r="B365" s="10" t="s">
        <v>1317</v>
      </c>
      <c r="C365" s="10" t="s">
        <v>15</v>
      </c>
      <c r="D365" s="10" t="s">
        <v>16</v>
      </c>
      <c r="E365" s="10" t="s">
        <v>17</v>
      </c>
      <c r="F365" s="10" t="s">
        <v>681</v>
      </c>
      <c r="G365" s="10" t="s">
        <v>1318</v>
      </c>
      <c r="H365" s="10" t="s">
        <v>1319</v>
      </c>
      <c r="I365" s="10" t="s">
        <v>1320</v>
      </c>
      <c r="J365" s="10" t="s">
        <v>9</v>
      </c>
      <c r="K365" s="5">
        <v>46084.0</v>
      </c>
      <c r="L365" s="11" t="s">
        <v>784</v>
      </c>
      <c r="M365" s="7" t="str">
        <f>IFERROR(__xludf.DUMMYFUNCTION("TEXT(
  IF(RIGHT(A365,2)=""mo"",
    EDATE(DATEVALUE(K365), -VALUE(REGEXEXTRACT(A365,""\d+""))),
    DATEVALUE(K365) - IF(RIGHT(A365,1)=""h"", VALUE(REGEXEXTRACT(A365,""\d+""))/24,
         IF(RIGHT(A365,1)=""d"", VALUE(REGEXEXTRACT(A365,""\d+"")),
      "&amp;"   IF(RIGHT(A365,1)=""w"", VALUE(REGEXEXTRACT(A365,""\d+""))*7,
         0)))
  )
, ""YYYY-M-D"")"),"2026-2-27")</f>
        <v>2026-2-27</v>
      </c>
    </row>
    <row r="366">
      <c r="A366" s="10" t="s">
        <v>379</v>
      </c>
      <c r="B366" s="10" t="s">
        <v>1321</v>
      </c>
      <c r="C366" s="10" t="s">
        <v>1322</v>
      </c>
      <c r="D366" s="10" t="s">
        <v>37</v>
      </c>
      <c r="E366" s="10" t="s">
        <v>17</v>
      </c>
      <c r="F366" s="10" t="s">
        <v>1323</v>
      </c>
      <c r="G366" s="10" t="s">
        <v>1324</v>
      </c>
      <c r="H366" s="10" t="s">
        <v>1325</v>
      </c>
      <c r="I366" s="10" t="s">
        <v>21</v>
      </c>
      <c r="J366" s="10" t="s">
        <v>9</v>
      </c>
      <c r="K366" s="5">
        <v>46084.0</v>
      </c>
      <c r="L366" s="11" t="s">
        <v>784</v>
      </c>
      <c r="M366" s="7" t="str">
        <f>IFERROR(__xludf.DUMMYFUNCTION("TEXT(
  IF(RIGHT(A366,2)=""mo"",
    EDATE(DATEVALUE(K366), -VALUE(REGEXEXTRACT(A366,""\d+""))),
    DATEVALUE(K366) - IF(RIGHT(A366,1)=""h"", VALUE(REGEXEXTRACT(A366,""\d+""))/24,
         IF(RIGHT(A366,1)=""d"", VALUE(REGEXEXTRACT(A366,""\d+"")),
      "&amp;"   IF(RIGHT(A366,1)=""w"", VALUE(REGEXEXTRACT(A366,""\d+""))*7,
         0)))
  )
, ""YYYY-M-D"")"),"2026-2-3")</f>
        <v>2026-2-3</v>
      </c>
    </row>
    <row r="367">
      <c r="A367" s="10" t="s">
        <v>173</v>
      </c>
      <c r="B367" s="10" t="s">
        <v>1326</v>
      </c>
      <c r="C367" s="10" t="s">
        <v>15</v>
      </c>
      <c r="D367" s="10" t="s">
        <v>16</v>
      </c>
      <c r="E367" s="10" t="s">
        <v>17</v>
      </c>
      <c r="F367" s="10" t="s">
        <v>1327</v>
      </c>
      <c r="G367" s="10" t="s">
        <v>1328</v>
      </c>
      <c r="H367" s="10" t="s">
        <v>1329</v>
      </c>
      <c r="I367" s="10" t="s">
        <v>1330</v>
      </c>
      <c r="J367" s="10" t="s">
        <v>9</v>
      </c>
      <c r="K367" s="5">
        <v>46084.0</v>
      </c>
      <c r="L367" s="11" t="s">
        <v>784</v>
      </c>
      <c r="M367" s="7" t="str">
        <f>IFERROR(__xludf.DUMMYFUNCTION("TEXT(
  IF(RIGHT(A367,2)=""mo"",
    EDATE(DATEVALUE(K367), -VALUE(REGEXEXTRACT(A367,""\d+""))),
    DATEVALUE(K367) - IF(RIGHT(A367,1)=""h"", VALUE(REGEXEXTRACT(A367,""\d+""))/24,
         IF(RIGHT(A367,1)=""d"", VALUE(REGEXEXTRACT(A367,""\d+"")),
      "&amp;"   IF(RIGHT(A367,1)=""w"", VALUE(REGEXEXTRACT(A367,""\d+""))*7,
         0)))
  )
, ""YYYY-M-D"")"),"2026-2-24")</f>
        <v>2026-2-24</v>
      </c>
    </row>
    <row r="368">
      <c r="A368" s="10" t="s">
        <v>321</v>
      </c>
      <c r="B368" s="10" t="s">
        <v>1331</v>
      </c>
      <c r="C368" s="10" t="s">
        <v>268</v>
      </c>
      <c r="D368" s="10" t="s">
        <v>37</v>
      </c>
      <c r="E368" s="10" t="s">
        <v>17</v>
      </c>
      <c r="F368" s="10" t="s">
        <v>1332</v>
      </c>
      <c r="G368" s="10" t="s">
        <v>1333</v>
      </c>
      <c r="H368" s="10" t="s">
        <v>1334</v>
      </c>
      <c r="I368" s="10" t="s">
        <v>21</v>
      </c>
      <c r="J368" s="10" t="s">
        <v>9</v>
      </c>
      <c r="K368" s="5">
        <v>46084.0</v>
      </c>
      <c r="L368" s="11" t="s">
        <v>784</v>
      </c>
      <c r="M368" s="7" t="str">
        <f>IFERROR(__xludf.DUMMYFUNCTION("TEXT(
  IF(RIGHT(A368,2)=""mo"",
    EDATE(DATEVALUE(K368), -VALUE(REGEXEXTRACT(A368,""\d+""))),
    DATEVALUE(K368) - IF(RIGHT(A368,1)=""h"", VALUE(REGEXEXTRACT(A368,""\d+""))/24,
         IF(RIGHT(A368,1)=""d"", VALUE(REGEXEXTRACT(A368,""\d+"")),
      "&amp;"   IF(RIGHT(A368,1)=""w"", VALUE(REGEXEXTRACT(A368,""\d+""))*7,
         0)))
  )
, ""YYYY-M-D"")"),"2026-2-10")</f>
        <v>2026-2-10</v>
      </c>
    </row>
    <row r="369">
      <c r="A369" s="10" t="s">
        <v>379</v>
      </c>
      <c r="B369" s="10" t="s">
        <v>1335</v>
      </c>
      <c r="C369" s="10" t="s">
        <v>268</v>
      </c>
      <c r="D369" s="10" t="s">
        <v>37</v>
      </c>
      <c r="E369" s="10" t="s">
        <v>17</v>
      </c>
      <c r="F369" s="10" t="s">
        <v>1336</v>
      </c>
      <c r="G369" s="10" t="s">
        <v>1337</v>
      </c>
      <c r="H369" s="10" t="s">
        <v>1338</v>
      </c>
      <c r="I369" s="10" t="s">
        <v>1339</v>
      </c>
      <c r="J369" s="10" t="s">
        <v>9</v>
      </c>
      <c r="K369" s="5">
        <v>46084.0</v>
      </c>
      <c r="L369" s="11" t="s">
        <v>784</v>
      </c>
      <c r="M369" s="7" t="str">
        <f>IFERROR(__xludf.DUMMYFUNCTION("TEXT(
  IF(RIGHT(A369,2)=""mo"",
    EDATE(DATEVALUE(K369), -VALUE(REGEXEXTRACT(A369,""\d+""))),
    DATEVALUE(K369) - IF(RIGHT(A369,1)=""h"", VALUE(REGEXEXTRACT(A369,""\d+""))/24,
         IF(RIGHT(A369,1)=""d"", VALUE(REGEXEXTRACT(A369,""\d+"")),
      "&amp;"   IF(RIGHT(A369,1)=""w"", VALUE(REGEXEXTRACT(A369,""\d+""))*7,
         0)))
  )
, ""YYYY-M-D"")"),"2026-2-3")</f>
        <v>2026-2-3</v>
      </c>
    </row>
    <row r="370">
      <c r="A370" s="10" t="s">
        <v>173</v>
      </c>
      <c r="B370" s="10" t="s">
        <v>1340</v>
      </c>
      <c r="C370" s="10" t="s">
        <v>1341</v>
      </c>
      <c r="D370" s="10" t="s">
        <v>37</v>
      </c>
      <c r="E370" s="10" t="s">
        <v>17</v>
      </c>
      <c r="F370" s="10" t="s">
        <v>1342</v>
      </c>
      <c r="G370" s="10" t="s">
        <v>1343</v>
      </c>
      <c r="H370" s="10" t="s">
        <v>1344</v>
      </c>
      <c r="I370" s="10" t="s">
        <v>21</v>
      </c>
      <c r="J370" s="10" t="s">
        <v>9</v>
      </c>
      <c r="K370" s="5">
        <v>46084.0</v>
      </c>
      <c r="L370" s="11" t="s">
        <v>784</v>
      </c>
      <c r="M370" s="7" t="str">
        <f>IFERROR(__xludf.DUMMYFUNCTION("TEXT(
  IF(RIGHT(A370,2)=""mo"",
    EDATE(DATEVALUE(K370), -VALUE(REGEXEXTRACT(A370,""\d+""))),
    DATEVALUE(K370) - IF(RIGHT(A370,1)=""h"", VALUE(REGEXEXTRACT(A370,""\d+""))/24,
         IF(RIGHT(A370,1)=""d"", VALUE(REGEXEXTRACT(A370,""\d+"")),
      "&amp;"   IF(RIGHT(A370,1)=""w"", VALUE(REGEXEXTRACT(A370,""\d+""))*7,
         0)))
  )
, ""YYYY-M-D"")"),"2026-2-24")</f>
        <v>2026-2-24</v>
      </c>
    </row>
    <row r="371">
      <c r="A371" s="10" t="s">
        <v>23</v>
      </c>
      <c r="B371" s="10" t="s">
        <v>1345</v>
      </c>
      <c r="C371" s="10" t="s">
        <v>15</v>
      </c>
      <c r="D371" s="10" t="s">
        <v>44</v>
      </c>
      <c r="E371" s="10" t="s">
        <v>17</v>
      </c>
      <c r="F371" s="10" t="s">
        <v>1346</v>
      </c>
      <c r="G371" s="10" t="s">
        <v>1347</v>
      </c>
      <c r="H371" s="10" t="s">
        <v>1348</v>
      </c>
      <c r="I371" s="10" t="s">
        <v>1349</v>
      </c>
      <c r="J371" s="10" t="s">
        <v>9</v>
      </c>
      <c r="K371" s="5">
        <v>46084.0</v>
      </c>
      <c r="L371" s="11" t="s">
        <v>784</v>
      </c>
      <c r="M371" s="7" t="str">
        <f>IFERROR(__xludf.DUMMYFUNCTION("TEXT(
  IF(RIGHT(A371,2)=""mo"",
    EDATE(DATEVALUE(K371), -VALUE(REGEXEXTRACT(A371,""\d+""))),
    DATEVALUE(K371) - IF(RIGHT(A371,1)=""h"", VALUE(REGEXEXTRACT(A371,""\d+""))/24,
         IF(RIGHT(A371,1)=""d"", VALUE(REGEXEXTRACT(A371,""\d+"")),
      "&amp;"   IF(RIGHT(A371,1)=""w"", VALUE(REGEXEXTRACT(A371,""\d+""))*7,
         0)))
  )
, ""YYYY-M-D"")"),"2026-3-2")</f>
        <v>2026-3-2</v>
      </c>
    </row>
    <row r="372">
      <c r="A372" s="10" t="s">
        <v>379</v>
      </c>
      <c r="B372" s="10" t="s">
        <v>1350</v>
      </c>
      <c r="C372" s="10" t="s">
        <v>15</v>
      </c>
      <c r="D372" s="10" t="s">
        <v>44</v>
      </c>
      <c r="E372" s="10" t="s">
        <v>17</v>
      </c>
      <c r="F372" s="10" t="s">
        <v>1351</v>
      </c>
      <c r="G372" s="10" t="s">
        <v>1352</v>
      </c>
      <c r="H372" s="10" t="s">
        <v>1353</v>
      </c>
      <c r="I372" s="10" t="s">
        <v>21</v>
      </c>
      <c r="J372" s="10" t="s">
        <v>9</v>
      </c>
      <c r="K372" s="5">
        <v>46084.0</v>
      </c>
      <c r="L372" s="11" t="s">
        <v>784</v>
      </c>
      <c r="M372" s="7" t="str">
        <f>IFERROR(__xludf.DUMMYFUNCTION("TEXT(
  IF(RIGHT(A372,2)=""mo"",
    EDATE(DATEVALUE(K372), -VALUE(REGEXEXTRACT(A372,""\d+""))),
    DATEVALUE(K372) - IF(RIGHT(A372,1)=""h"", VALUE(REGEXEXTRACT(A372,""\d+""))/24,
         IF(RIGHT(A372,1)=""d"", VALUE(REGEXEXTRACT(A372,""\d+"")),
      "&amp;"   IF(RIGHT(A372,1)=""w"", VALUE(REGEXEXTRACT(A372,""\d+""))*7,
         0)))
  )
, ""YYYY-M-D"")"),"2026-2-3")</f>
        <v>2026-2-3</v>
      </c>
    </row>
    <row r="373">
      <c r="A373" s="10" t="s">
        <v>144</v>
      </c>
      <c r="B373" s="10" t="s">
        <v>1354</v>
      </c>
      <c r="C373" s="10" t="s">
        <v>15</v>
      </c>
      <c r="D373" s="10" t="s">
        <v>44</v>
      </c>
      <c r="E373" s="10" t="s">
        <v>17</v>
      </c>
      <c r="F373" s="10" t="s">
        <v>1355</v>
      </c>
      <c r="G373" s="10" t="s">
        <v>1356</v>
      </c>
      <c r="H373" s="10" t="s">
        <v>1357</v>
      </c>
      <c r="I373" s="10" t="s">
        <v>1358</v>
      </c>
      <c r="J373" s="10" t="s">
        <v>9</v>
      </c>
      <c r="K373" s="5">
        <v>46084.0</v>
      </c>
      <c r="L373" s="11" t="s">
        <v>784</v>
      </c>
      <c r="M373" s="7" t="str">
        <f>IFERROR(__xludf.DUMMYFUNCTION("TEXT(
  IF(RIGHT(A373,2)=""mo"",
    EDATE(DATEVALUE(K373), -VALUE(REGEXEXTRACT(A373,""\d+""))),
    DATEVALUE(K373) - IF(RIGHT(A373,1)=""h"", VALUE(REGEXEXTRACT(A373,""\d+""))/24,
         IF(RIGHT(A373,1)=""d"", VALUE(REGEXEXTRACT(A373,""\d+"")),
      "&amp;"   IF(RIGHT(A373,1)=""w"", VALUE(REGEXEXTRACT(A373,""\d+""))*7,
         0)))
  )
, ""YYYY-M-D"")"),"2026-2-25")</f>
        <v>2026-2-25</v>
      </c>
    </row>
    <row r="374">
      <c r="A374" s="10" t="s">
        <v>379</v>
      </c>
      <c r="B374" s="10" t="s">
        <v>1359</v>
      </c>
      <c r="C374" s="10" t="s">
        <v>928</v>
      </c>
      <c r="D374" s="10" t="s">
        <v>16</v>
      </c>
      <c r="E374" s="10" t="s">
        <v>17</v>
      </c>
      <c r="F374" s="10" t="s">
        <v>1360</v>
      </c>
      <c r="G374" s="10" t="s">
        <v>1361</v>
      </c>
      <c r="H374" s="10" t="s">
        <v>1362</v>
      </c>
      <c r="I374" s="10" t="s">
        <v>1363</v>
      </c>
      <c r="J374" s="10" t="s">
        <v>9</v>
      </c>
      <c r="K374" s="5">
        <v>46084.0</v>
      </c>
      <c r="L374" s="11" t="s">
        <v>784</v>
      </c>
      <c r="M374" s="7" t="str">
        <f>IFERROR(__xludf.DUMMYFUNCTION("TEXT(
  IF(RIGHT(A374,2)=""mo"",
    EDATE(DATEVALUE(K374), -VALUE(REGEXEXTRACT(A374,""\d+""))),
    DATEVALUE(K374) - IF(RIGHT(A374,1)=""h"", VALUE(REGEXEXTRACT(A374,""\d+""))/24,
         IF(RIGHT(A374,1)=""d"", VALUE(REGEXEXTRACT(A374,""\d+"")),
      "&amp;"   IF(RIGHT(A374,1)=""w"", VALUE(REGEXEXTRACT(A374,""\d+""))*7,
         0)))
  )
, ""YYYY-M-D"")"),"2026-2-3")</f>
        <v>2026-2-3</v>
      </c>
    </row>
    <row r="375">
      <c r="A375" s="10" t="s">
        <v>379</v>
      </c>
      <c r="B375" s="10" t="s">
        <v>1364</v>
      </c>
      <c r="C375" s="10" t="s">
        <v>1365</v>
      </c>
      <c r="D375" s="10" t="s">
        <v>37</v>
      </c>
      <c r="E375" s="10" t="s">
        <v>17</v>
      </c>
      <c r="F375" s="10" t="s">
        <v>1366</v>
      </c>
      <c r="G375" s="10" t="s">
        <v>1367</v>
      </c>
      <c r="H375" s="10" t="s">
        <v>1368</v>
      </c>
      <c r="I375" s="10" t="s">
        <v>1369</v>
      </c>
      <c r="J375" s="10" t="s">
        <v>9</v>
      </c>
      <c r="K375" s="5">
        <v>46084.0</v>
      </c>
      <c r="L375" s="11" t="s">
        <v>784</v>
      </c>
      <c r="M375" s="7" t="str">
        <f>IFERROR(__xludf.DUMMYFUNCTION("TEXT(
  IF(RIGHT(A375,2)=""mo"",
    EDATE(DATEVALUE(K375), -VALUE(REGEXEXTRACT(A375,""\d+""))),
    DATEVALUE(K375) - IF(RIGHT(A375,1)=""h"", VALUE(REGEXEXTRACT(A375,""\d+""))/24,
         IF(RIGHT(A375,1)=""d"", VALUE(REGEXEXTRACT(A375,""\d+"")),
      "&amp;"   IF(RIGHT(A375,1)=""w"", VALUE(REGEXEXTRACT(A375,""\d+""))*7,
         0)))
  )
, ""YYYY-M-D"")"),"2026-2-3")</f>
        <v>2026-2-3</v>
      </c>
    </row>
    <row r="376">
      <c r="A376" s="10" t="s">
        <v>239</v>
      </c>
      <c r="B376" s="10" t="s">
        <v>1370</v>
      </c>
      <c r="C376" s="10" t="s">
        <v>268</v>
      </c>
      <c r="D376" s="10" t="s">
        <v>37</v>
      </c>
      <c r="E376" s="10" t="s">
        <v>17</v>
      </c>
      <c r="F376" s="10" t="s">
        <v>1371</v>
      </c>
      <c r="G376" s="10" t="s">
        <v>1372</v>
      </c>
      <c r="H376" s="10" t="s">
        <v>1373</v>
      </c>
      <c r="I376" s="10" t="s">
        <v>1374</v>
      </c>
      <c r="J376" s="10" t="s">
        <v>9</v>
      </c>
      <c r="K376" s="5">
        <v>46084.0</v>
      </c>
      <c r="L376" s="11" t="s">
        <v>784</v>
      </c>
      <c r="M376" s="7" t="str">
        <f>IFERROR(__xludf.DUMMYFUNCTION("TEXT(
  IF(RIGHT(A376,2)=""mo"",
    EDATE(DATEVALUE(K376), -VALUE(REGEXEXTRACT(A376,""\d+""))),
    DATEVALUE(K376) - IF(RIGHT(A376,1)=""h"", VALUE(REGEXEXTRACT(A376,""\d+""))/24,
         IF(RIGHT(A376,1)=""d"", VALUE(REGEXEXTRACT(A376,""\d+"")),
      "&amp;"   IF(RIGHT(A376,1)=""w"", VALUE(REGEXEXTRACT(A376,""\d+""))*7,
         0)))
  )
, ""YYYY-M-D"")"),"2026-2-17")</f>
        <v>2026-2-17</v>
      </c>
    </row>
    <row r="377">
      <c r="A377" s="10" t="s">
        <v>321</v>
      </c>
      <c r="B377" s="10" t="s">
        <v>1375</v>
      </c>
      <c r="C377" s="10" t="s">
        <v>15</v>
      </c>
      <c r="D377" s="10" t="s">
        <v>16</v>
      </c>
      <c r="E377" s="10" t="s">
        <v>17</v>
      </c>
      <c r="F377" s="10" t="s">
        <v>1376</v>
      </c>
      <c r="G377" s="10" t="s">
        <v>1377</v>
      </c>
      <c r="H377" s="10" t="s">
        <v>1378</v>
      </c>
      <c r="I377" s="10" t="s">
        <v>1379</v>
      </c>
      <c r="J377" s="10" t="s">
        <v>9</v>
      </c>
      <c r="K377" s="5">
        <v>46084.0</v>
      </c>
      <c r="L377" s="11" t="s">
        <v>784</v>
      </c>
      <c r="M377" s="7" t="str">
        <f>IFERROR(__xludf.DUMMYFUNCTION("TEXT(
  IF(RIGHT(A377,2)=""mo"",
    EDATE(DATEVALUE(K377), -VALUE(REGEXEXTRACT(A377,""\d+""))),
    DATEVALUE(K377) - IF(RIGHT(A377,1)=""h"", VALUE(REGEXEXTRACT(A377,""\d+""))/24,
         IF(RIGHT(A377,1)=""d"", VALUE(REGEXEXTRACT(A377,""\d+"")),
      "&amp;"   IF(RIGHT(A377,1)=""w"", VALUE(REGEXEXTRACT(A377,""\d+""))*7,
         0)))
  )
, ""YYYY-M-D"")"),"2026-2-10")</f>
        <v>2026-2-10</v>
      </c>
    </row>
    <row r="378">
      <c r="A378" s="10" t="s">
        <v>173</v>
      </c>
      <c r="B378" s="10" t="s">
        <v>1380</v>
      </c>
      <c r="C378" s="10" t="s">
        <v>15</v>
      </c>
      <c r="D378" s="10" t="s">
        <v>16</v>
      </c>
      <c r="E378" s="10" t="s">
        <v>17</v>
      </c>
      <c r="F378" s="10" t="s">
        <v>1381</v>
      </c>
      <c r="G378" s="10" t="s">
        <v>1382</v>
      </c>
      <c r="H378" s="10" t="s">
        <v>1383</v>
      </c>
      <c r="I378" s="10" t="s">
        <v>21</v>
      </c>
      <c r="J378" s="10" t="s">
        <v>9</v>
      </c>
      <c r="K378" s="5">
        <v>46084.0</v>
      </c>
      <c r="L378" s="11" t="s">
        <v>784</v>
      </c>
      <c r="M378" s="7" t="str">
        <f>IFERROR(__xludf.DUMMYFUNCTION("TEXT(
  IF(RIGHT(A378,2)=""mo"",
    EDATE(DATEVALUE(K378), -VALUE(REGEXEXTRACT(A378,""\d+""))),
    DATEVALUE(K378) - IF(RIGHT(A378,1)=""h"", VALUE(REGEXEXTRACT(A378,""\d+""))/24,
         IF(RIGHT(A378,1)=""d"", VALUE(REGEXEXTRACT(A378,""\d+"")),
      "&amp;"   IF(RIGHT(A378,1)=""w"", VALUE(REGEXEXTRACT(A378,""\d+""))*7,
         0)))
  )
, ""YYYY-M-D"")"),"2026-2-24")</f>
        <v>2026-2-24</v>
      </c>
    </row>
    <row r="379">
      <c r="A379" s="10" t="s">
        <v>123</v>
      </c>
      <c r="B379" s="10" t="s">
        <v>1384</v>
      </c>
      <c r="C379" s="10" t="s">
        <v>234</v>
      </c>
      <c r="D379" s="10" t="s">
        <v>16</v>
      </c>
      <c r="E379" s="10" t="s">
        <v>421</v>
      </c>
      <c r="F379" s="10" t="s">
        <v>1385</v>
      </c>
      <c r="G379" s="10" t="s">
        <v>1386</v>
      </c>
      <c r="H379" s="10" t="s">
        <v>1387</v>
      </c>
      <c r="I379" s="10" t="s">
        <v>1388</v>
      </c>
      <c r="J379" s="10" t="s">
        <v>9</v>
      </c>
      <c r="K379" s="5">
        <v>46084.0</v>
      </c>
      <c r="L379" s="11" t="s">
        <v>784</v>
      </c>
      <c r="M379" s="7" t="str">
        <f>IFERROR(__xludf.DUMMYFUNCTION("TEXT(
  IF(RIGHT(A379,2)=""mo"",
    EDATE(DATEVALUE(K379), -VALUE(REGEXEXTRACT(A379,""\d+""))),
    DATEVALUE(K379) - IF(RIGHT(A379,1)=""h"", VALUE(REGEXEXTRACT(A379,""\d+""))/24,
         IF(RIGHT(A379,1)=""d"", VALUE(REGEXEXTRACT(A379,""\d+"")),
      "&amp;"   IF(RIGHT(A379,1)=""w"", VALUE(REGEXEXTRACT(A379,""\d+""))*7,
         0)))
  )
, ""YYYY-M-D"")"),"2026-2-26")</f>
        <v>2026-2-26</v>
      </c>
    </row>
    <row r="380">
      <c r="A380" s="10" t="s">
        <v>379</v>
      </c>
      <c r="B380" s="10" t="s">
        <v>1389</v>
      </c>
      <c r="C380" s="10" t="s">
        <v>15</v>
      </c>
      <c r="D380" s="10" t="s">
        <v>44</v>
      </c>
      <c r="E380" s="10" t="s">
        <v>1390</v>
      </c>
      <c r="F380" s="10" t="s">
        <v>1391</v>
      </c>
      <c r="G380" s="10" t="s">
        <v>1392</v>
      </c>
      <c r="H380" s="10" t="s">
        <v>1393</v>
      </c>
      <c r="I380" s="10" t="s">
        <v>1394</v>
      </c>
      <c r="J380" s="10" t="s">
        <v>9</v>
      </c>
      <c r="K380" s="5">
        <v>46084.0</v>
      </c>
      <c r="L380" s="11" t="s">
        <v>784</v>
      </c>
      <c r="M380" s="7" t="str">
        <f>IFERROR(__xludf.DUMMYFUNCTION("TEXT(
  IF(RIGHT(A380,2)=""mo"",
    EDATE(DATEVALUE(K380), -VALUE(REGEXEXTRACT(A380,""\d+""))),
    DATEVALUE(K380) - IF(RIGHT(A380,1)=""h"", VALUE(REGEXEXTRACT(A380,""\d+""))/24,
         IF(RIGHT(A380,1)=""d"", VALUE(REGEXEXTRACT(A380,""\d+"")),
      "&amp;"   IF(RIGHT(A380,1)=""w"", VALUE(REGEXEXTRACT(A380,""\d+""))*7,
         0)))
  )
, ""YYYY-M-D"")"),"2026-2-3")</f>
        <v>2026-2-3</v>
      </c>
    </row>
    <row r="381">
      <c r="A381" s="10" t="s">
        <v>581</v>
      </c>
      <c r="B381" s="10" t="s">
        <v>1395</v>
      </c>
      <c r="C381" s="10" t="s">
        <v>15</v>
      </c>
      <c r="D381" s="10" t="s">
        <v>44</v>
      </c>
      <c r="E381" s="10" t="s">
        <v>17</v>
      </c>
      <c r="F381" s="10" t="s">
        <v>1396</v>
      </c>
      <c r="G381" s="10" t="s">
        <v>1397</v>
      </c>
      <c r="H381" s="10" t="s">
        <v>1398</v>
      </c>
      <c r="I381" s="10" t="s">
        <v>1399</v>
      </c>
      <c r="J381" s="10" t="s">
        <v>9</v>
      </c>
      <c r="K381" s="5">
        <v>46084.0</v>
      </c>
      <c r="L381" s="11" t="s">
        <v>784</v>
      </c>
      <c r="M381" s="7" t="str">
        <f>IFERROR(__xludf.DUMMYFUNCTION("TEXT(
  IF(RIGHT(A381,2)=""mo"",
    EDATE(DATEVALUE(K381), -VALUE(REGEXEXTRACT(A381,""\d+""))),
    DATEVALUE(K381) - IF(RIGHT(A381,1)=""h"", VALUE(REGEXEXTRACT(A381,""\d+""))/24,
         IF(RIGHT(A381,1)=""d"", VALUE(REGEXEXTRACT(A381,""\d+"")),
      "&amp;"   IF(RIGHT(A381,1)=""w"", VALUE(REGEXEXTRACT(A381,""\d+""))*7,
         0)))
  )
, ""YYYY-M-D"")"),"2026-1-3")</f>
        <v>2026-1-3</v>
      </c>
    </row>
    <row r="382">
      <c r="A382" s="10" t="s">
        <v>581</v>
      </c>
      <c r="B382" s="10" t="s">
        <v>1400</v>
      </c>
      <c r="C382" s="10" t="s">
        <v>15</v>
      </c>
      <c r="D382" s="10" t="s">
        <v>16</v>
      </c>
      <c r="E382" s="10" t="s">
        <v>67</v>
      </c>
      <c r="F382" s="10" t="s">
        <v>1401</v>
      </c>
      <c r="G382" s="10" t="s">
        <v>1402</v>
      </c>
      <c r="H382" s="10" t="s">
        <v>1403</v>
      </c>
      <c r="I382" s="10" t="s">
        <v>1404</v>
      </c>
      <c r="J382" s="10" t="s">
        <v>9</v>
      </c>
      <c r="K382" s="5">
        <v>46084.0</v>
      </c>
      <c r="L382" s="11" t="s">
        <v>784</v>
      </c>
      <c r="M382" s="7" t="str">
        <f>IFERROR(__xludf.DUMMYFUNCTION("TEXT(
  IF(RIGHT(A382,2)=""mo"",
    EDATE(DATEVALUE(K382), -VALUE(REGEXEXTRACT(A382,""\d+""))),
    DATEVALUE(K382) - IF(RIGHT(A382,1)=""h"", VALUE(REGEXEXTRACT(A382,""\d+""))/24,
         IF(RIGHT(A382,1)=""d"", VALUE(REGEXEXTRACT(A382,""\d+"")),
      "&amp;"   IF(RIGHT(A382,1)=""w"", VALUE(REGEXEXTRACT(A382,""\d+""))*7,
         0)))
  )
, ""YYYY-M-D"")"),"2026-1-3")</f>
        <v>2026-1-3</v>
      </c>
    </row>
    <row r="383">
      <c r="A383" s="10" t="s">
        <v>321</v>
      </c>
      <c r="B383" s="10" t="s">
        <v>1405</v>
      </c>
      <c r="C383" s="10" t="s">
        <v>1406</v>
      </c>
      <c r="D383" s="10" t="s">
        <v>37</v>
      </c>
      <c r="E383" s="10" t="s">
        <v>17</v>
      </c>
      <c r="F383" s="10" t="s">
        <v>497</v>
      </c>
      <c r="G383" s="10" t="s">
        <v>1407</v>
      </c>
      <c r="H383" s="10" t="s">
        <v>1408</v>
      </c>
      <c r="I383" s="10" t="s">
        <v>1409</v>
      </c>
      <c r="J383" s="10" t="s">
        <v>9</v>
      </c>
      <c r="K383" s="5">
        <v>46084.0</v>
      </c>
      <c r="L383" s="11" t="s">
        <v>784</v>
      </c>
      <c r="M383" s="7" t="str">
        <f>IFERROR(__xludf.DUMMYFUNCTION("TEXT(
  IF(RIGHT(A383,2)=""mo"",
    EDATE(DATEVALUE(K383), -VALUE(REGEXEXTRACT(A383,""\d+""))),
    DATEVALUE(K383) - IF(RIGHT(A383,1)=""h"", VALUE(REGEXEXTRACT(A383,""\d+""))/24,
         IF(RIGHT(A383,1)=""d"", VALUE(REGEXEXTRACT(A383,""\d+"")),
      "&amp;"   IF(RIGHT(A383,1)=""w"", VALUE(REGEXEXTRACT(A383,""\d+""))*7,
         0)))
  )
, ""YYYY-M-D"")"),"2026-2-10")</f>
        <v>2026-2-10</v>
      </c>
    </row>
    <row r="384">
      <c r="A384" s="10" t="s">
        <v>1410</v>
      </c>
      <c r="B384" s="10" t="s">
        <v>1411</v>
      </c>
      <c r="C384" s="10" t="s">
        <v>15</v>
      </c>
      <c r="D384" s="10" t="s">
        <v>44</v>
      </c>
      <c r="E384" s="10" t="s">
        <v>67</v>
      </c>
      <c r="F384" s="10" t="s">
        <v>357</v>
      </c>
      <c r="G384" s="10" t="s">
        <v>1412</v>
      </c>
      <c r="H384" s="10" t="s">
        <v>1413</v>
      </c>
      <c r="I384" s="10" t="s">
        <v>1414</v>
      </c>
      <c r="J384" s="10" t="s">
        <v>9</v>
      </c>
      <c r="K384" s="5">
        <v>46086.0</v>
      </c>
      <c r="L384" s="11" t="s">
        <v>1415</v>
      </c>
      <c r="M384" s="7" t="str">
        <f>IFERROR(__xludf.DUMMYFUNCTION("TEXT(
  IF(RIGHT(A384,2)=""mo"",
    EDATE(DATEVALUE(K384), -VALUE(REGEXEXTRACT(A384,""\d+""))),
    DATEVALUE(K384) - IF(RIGHT(A384,1)=""h"", VALUE(REGEXEXTRACT(A384,""\d+""))/24,
         IF(RIGHT(A384,1)=""d"", VALUE(REGEXEXTRACT(A384,""\d+"")),
      "&amp;"   IF(RIGHT(A384,1)=""w"", VALUE(REGEXEXTRACT(A384,""\d+""))*7,
         0)))
  )
, ""YYYY-M-D"")"),"2026-3-4")</f>
        <v>2026-3-4</v>
      </c>
    </row>
    <row r="385">
      <c r="A385" s="10" t="s">
        <v>1410</v>
      </c>
      <c r="B385" s="10" t="s">
        <v>1416</v>
      </c>
      <c r="C385" s="10" t="s">
        <v>15</v>
      </c>
      <c r="D385" s="10" t="s">
        <v>16</v>
      </c>
      <c r="E385" s="10" t="s">
        <v>17</v>
      </c>
      <c r="F385" s="10" t="s">
        <v>513</v>
      </c>
      <c r="G385" s="10" t="s">
        <v>1417</v>
      </c>
      <c r="H385" s="10" t="s">
        <v>1418</v>
      </c>
      <c r="I385" s="10" t="s">
        <v>1419</v>
      </c>
      <c r="J385" s="10" t="s">
        <v>9</v>
      </c>
      <c r="K385" s="5">
        <v>46086.0</v>
      </c>
      <c r="L385" s="11" t="s">
        <v>1415</v>
      </c>
      <c r="M385" s="7" t="str">
        <f>IFERROR(__xludf.DUMMYFUNCTION("TEXT(
  IF(RIGHT(A385,2)=""mo"",
    EDATE(DATEVALUE(K385), -VALUE(REGEXEXTRACT(A385,""\d+""))),
    DATEVALUE(K385) - IF(RIGHT(A385,1)=""h"", VALUE(REGEXEXTRACT(A385,""\d+""))/24,
         IF(RIGHT(A385,1)=""d"", VALUE(REGEXEXTRACT(A385,""\d+"")),
      "&amp;"   IF(RIGHT(A385,1)=""w"", VALUE(REGEXEXTRACT(A385,""\d+""))*7,
         0)))
  )
, ""YYYY-M-D"")"),"2026-3-4")</f>
        <v>2026-3-4</v>
      </c>
    </row>
    <row r="386">
      <c r="A386" s="10" t="s">
        <v>23</v>
      </c>
      <c r="B386" s="10" t="s">
        <v>1420</v>
      </c>
      <c r="C386" s="10" t="s">
        <v>15</v>
      </c>
      <c r="D386" s="10" t="s">
        <v>16</v>
      </c>
      <c r="E386" s="10" t="s">
        <v>17</v>
      </c>
      <c r="F386" s="10" t="s">
        <v>1421</v>
      </c>
      <c r="G386" s="10" t="s">
        <v>1422</v>
      </c>
      <c r="H386" s="10" t="s">
        <v>1423</v>
      </c>
      <c r="I386" s="10" t="s">
        <v>21</v>
      </c>
      <c r="J386" s="10" t="s">
        <v>9</v>
      </c>
      <c r="K386" s="5">
        <v>46086.0</v>
      </c>
      <c r="L386" s="11" t="s">
        <v>1415</v>
      </c>
      <c r="M386" s="7" t="str">
        <f>IFERROR(__xludf.DUMMYFUNCTION("TEXT(
  IF(RIGHT(A386,2)=""mo"",
    EDATE(DATEVALUE(K386), -VALUE(REGEXEXTRACT(A386,""\d+""))),
    DATEVALUE(K386) - IF(RIGHT(A386,1)=""h"", VALUE(REGEXEXTRACT(A386,""\d+""))/24,
         IF(RIGHT(A386,1)=""d"", VALUE(REGEXEXTRACT(A386,""\d+"")),
      "&amp;"   IF(RIGHT(A386,1)=""w"", VALUE(REGEXEXTRACT(A386,""\d+""))*7,
         0)))
  )
, ""YYYY-M-D"")"),"2026-3-4")</f>
        <v>2026-3-4</v>
      </c>
    </row>
    <row r="387">
      <c r="A387" s="10" t="s">
        <v>23</v>
      </c>
      <c r="B387" s="10" t="s">
        <v>1424</v>
      </c>
      <c r="C387" s="10" t="s">
        <v>1425</v>
      </c>
      <c r="D387" s="10" t="s">
        <v>37</v>
      </c>
      <c r="E387" s="10" t="s">
        <v>913</v>
      </c>
      <c r="F387" s="10" t="s">
        <v>1426</v>
      </c>
      <c r="G387" s="10" t="s">
        <v>1427</v>
      </c>
      <c r="H387" s="10" t="s">
        <v>1428</v>
      </c>
      <c r="I387" s="10" t="s">
        <v>21</v>
      </c>
      <c r="J387" s="10" t="s">
        <v>9</v>
      </c>
      <c r="K387" s="5">
        <v>46086.0</v>
      </c>
      <c r="L387" s="11" t="s">
        <v>1415</v>
      </c>
      <c r="M387" s="7" t="str">
        <f>IFERROR(__xludf.DUMMYFUNCTION("TEXT(
  IF(RIGHT(A387,2)=""mo"",
    EDATE(DATEVALUE(K387), -VALUE(REGEXEXTRACT(A387,""\d+""))),
    DATEVALUE(K387) - IF(RIGHT(A387,1)=""h"", VALUE(REGEXEXTRACT(A387,""\d+""))/24,
         IF(RIGHT(A387,1)=""d"", VALUE(REGEXEXTRACT(A387,""\d+"")),
      "&amp;"   IF(RIGHT(A387,1)=""w"", VALUE(REGEXEXTRACT(A387,""\d+""))*7,
         0)))
  )
, ""YYYY-M-D"")"),"2026-3-4")</f>
        <v>2026-3-4</v>
      </c>
    </row>
    <row r="388">
      <c r="A388" s="10" t="s">
        <v>28</v>
      </c>
      <c r="B388" s="10" t="s">
        <v>1429</v>
      </c>
      <c r="C388" s="10" t="s">
        <v>15</v>
      </c>
      <c r="D388" s="10" t="s">
        <v>44</v>
      </c>
      <c r="E388" s="10" t="s">
        <v>67</v>
      </c>
      <c r="F388" s="10" t="s">
        <v>1430</v>
      </c>
      <c r="G388" s="10" t="s">
        <v>1431</v>
      </c>
      <c r="H388" s="10" t="s">
        <v>1432</v>
      </c>
      <c r="I388" s="10" t="s">
        <v>21</v>
      </c>
      <c r="J388" s="10" t="s">
        <v>9</v>
      </c>
      <c r="K388" s="5">
        <v>46086.0</v>
      </c>
      <c r="L388" s="11" t="s">
        <v>1415</v>
      </c>
      <c r="M388" s="7" t="str">
        <f>IFERROR(__xludf.DUMMYFUNCTION("TEXT(
  IF(RIGHT(A388,2)=""mo"",
    EDATE(DATEVALUE(K388), -VALUE(REGEXEXTRACT(A388,""\d+""))),
    DATEVALUE(K388) - IF(RIGHT(A388,1)=""h"", VALUE(REGEXEXTRACT(A388,""\d+""))/24,
         IF(RIGHT(A388,1)=""d"", VALUE(REGEXEXTRACT(A388,""\d+"")),
      "&amp;"   IF(RIGHT(A388,1)=""w"", VALUE(REGEXEXTRACT(A388,""\d+""))*7,
         0)))
  )
, ""YYYY-M-D"")"),"2026-3-3")</f>
        <v>2026-3-3</v>
      </c>
    </row>
    <row r="389">
      <c r="A389" s="10" t="s">
        <v>28</v>
      </c>
      <c r="B389" s="10" t="s">
        <v>1433</v>
      </c>
      <c r="C389" s="10" t="s">
        <v>15</v>
      </c>
      <c r="D389" s="10" t="s">
        <v>44</v>
      </c>
      <c r="E389" s="10" t="s">
        <v>17</v>
      </c>
      <c r="F389" s="10" t="s">
        <v>1434</v>
      </c>
      <c r="G389" s="10" t="s">
        <v>1435</v>
      </c>
      <c r="H389" s="10" t="s">
        <v>1436</v>
      </c>
      <c r="I389" s="10" t="s">
        <v>1437</v>
      </c>
      <c r="J389" s="10" t="s">
        <v>9</v>
      </c>
      <c r="K389" s="5">
        <v>46086.0</v>
      </c>
      <c r="L389" s="11" t="s">
        <v>1415</v>
      </c>
      <c r="M389" s="7" t="str">
        <f>IFERROR(__xludf.DUMMYFUNCTION("TEXT(
  IF(RIGHT(A389,2)=""mo"",
    EDATE(DATEVALUE(K389), -VALUE(REGEXEXTRACT(A389,""\d+""))),
    DATEVALUE(K389) - IF(RIGHT(A389,1)=""h"", VALUE(REGEXEXTRACT(A389,""\d+""))/24,
         IF(RIGHT(A389,1)=""d"", VALUE(REGEXEXTRACT(A389,""\d+"")),
      "&amp;"   IF(RIGHT(A389,1)=""w"", VALUE(REGEXEXTRACT(A389,""\d+""))*7,
         0)))
  )
, ""YYYY-M-D"")"),"2026-3-3")</f>
        <v>2026-3-3</v>
      </c>
    </row>
    <row r="390">
      <c r="A390" s="10" t="s">
        <v>28</v>
      </c>
      <c r="B390" s="10" t="s">
        <v>1438</v>
      </c>
      <c r="C390" s="10" t="s">
        <v>268</v>
      </c>
      <c r="D390" s="10" t="s">
        <v>37</v>
      </c>
      <c r="E390" s="10" t="s">
        <v>17</v>
      </c>
      <c r="F390" s="10" t="s">
        <v>1439</v>
      </c>
      <c r="G390" s="10" t="s">
        <v>1440</v>
      </c>
      <c r="H390" s="10" t="s">
        <v>1441</v>
      </c>
      <c r="I390" s="10" t="s">
        <v>21</v>
      </c>
      <c r="J390" s="10" t="s">
        <v>9</v>
      </c>
      <c r="K390" s="5">
        <v>46086.0</v>
      </c>
      <c r="L390" s="11" t="s">
        <v>1415</v>
      </c>
      <c r="M390" s="7" t="str">
        <f>IFERROR(__xludf.DUMMYFUNCTION("TEXT(
  IF(RIGHT(A390,2)=""mo"",
    EDATE(DATEVALUE(K390), -VALUE(REGEXEXTRACT(A390,""\d+""))),
    DATEVALUE(K390) - IF(RIGHT(A390,1)=""h"", VALUE(REGEXEXTRACT(A390,""\d+""))/24,
         IF(RIGHT(A390,1)=""d"", VALUE(REGEXEXTRACT(A390,""\d+"")),
      "&amp;"   IF(RIGHT(A390,1)=""w"", VALUE(REGEXEXTRACT(A390,""\d+""))*7,
         0)))
  )
, ""YYYY-M-D"")"),"2026-3-3")</f>
        <v>2026-3-3</v>
      </c>
    </row>
    <row r="391">
      <c r="A391" s="10" t="s">
        <v>28</v>
      </c>
      <c r="B391" s="10" t="s">
        <v>1438</v>
      </c>
      <c r="C391" s="10" t="s">
        <v>268</v>
      </c>
      <c r="D391" s="10" t="s">
        <v>37</v>
      </c>
      <c r="E391" s="10" t="s">
        <v>17</v>
      </c>
      <c r="F391" s="10" t="s">
        <v>1442</v>
      </c>
      <c r="G391" s="10" t="s">
        <v>1443</v>
      </c>
      <c r="H391" s="10" t="s">
        <v>1444</v>
      </c>
      <c r="I391" s="10" t="s">
        <v>21</v>
      </c>
      <c r="J391" s="10" t="s">
        <v>9</v>
      </c>
      <c r="K391" s="5">
        <v>46086.0</v>
      </c>
      <c r="L391" s="11" t="s">
        <v>1415</v>
      </c>
      <c r="M391" s="7" t="str">
        <f>IFERROR(__xludf.DUMMYFUNCTION("TEXT(
  IF(RIGHT(A391,2)=""mo"",
    EDATE(DATEVALUE(K391), -VALUE(REGEXEXTRACT(A391,""\d+""))),
    DATEVALUE(K391) - IF(RIGHT(A391,1)=""h"", VALUE(REGEXEXTRACT(A391,""\d+""))/24,
         IF(RIGHT(A391,1)=""d"", VALUE(REGEXEXTRACT(A391,""\d+"")),
      "&amp;"   IF(RIGHT(A391,1)=""w"", VALUE(REGEXEXTRACT(A391,""\d+""))*7,
         0)))
  )
, ""YYYY-M-D"")"),"2026-3-3")</f>
        <v>2026-3-3</v>
      </c>
    </row>
    <row r="392">
      <c r="A392" s="10" t="s">
        <v>42</v>
      </c>
      <c r="B392" s="10" t="s">
        <v>1445</v>
      </c>
      <c r="C392" s="10" t="s">
        <v>1446</v>
      </c>
      <c r="D392" s="10" t="s">
        <v>37</v>
      </c>
      <c r="E392" s="10" t="s">
        <v>17</v>
      </c>
      <c r="F392" s="10" t="s">
        <v>493</v>
      </c>
      <c r="G392" s="10" t="s">
        <v>1447</v>
      </c>
      <c r="H392" s="10" t="s">
        <v>1448</v>
      </c>
      <c r="I392" s="10" t="s">
        <v>21</v>
      </c>
      <c r="J392" s="10" t="s">
        <v>9</v>
      </c>
      <c r="K392" s="5">
        <v>46086.0</v>
      </c>
      <c r="L392" s="11" t="s">
        <v>1415</v>
      </c>
      <c r="M392" s="7" t="str">
        <f>IFERROR(__xludf.DUMMYFUNCTION("TEXT(
  IF(RIGHT(A392,2)=""mo"",
    EDATE(DATEVALUE(K392), -VALUE(REGEXEXTRACT(A392,""\d+""))),
    DATEVALUE(K392) - IF(RIGHT(A392,1)=""h"", VALUE(REGEXEXTRACT(A392,""\d+""))/24,
         IF(RIGHT(A392,1)=""d"", VALUE(REGEXEXTRACT(A392,""\d+"")),
      "&amp;"   IF(RIGHT(A392,1)=""w"", VALUE(REGEXEXTRACT(A392,""\d+""))*7,
         0)))
  )
, ""YYYY-M-D"")"),"2026-3-2")</f>
        <v>2026-3-2</v>
      </c>
    </row>
    <row r="393">
      <c r="A393" s="10" t="s">
        <v>173</v>
      </c>
      <c r="B393" s="10" t="s">
        <v>1449</v>
      </c>
      <c r="C393" s="10" t="s">
        <v>1450</v>
      </c>
      <c r="D393" s="10" t="s">
        <v>37</v>
      </c>
      <c r="E393" s="10" t="s">
        <v>17</v>
      </c>
      <c r="F393" s="10" t="s">
        <v>890</v>
      </c>
      <c r="G393" s="10" t="s">
        <v>1451</v>
      </c>
      <c r="H393" s="10" t="s">
        <v>1452</v>
      </c>
      <c r="I393" s="10" t="s">
        <v>1453</v>
      </c>
      <c r="J393" s="10" t="s">
        <v>9</v>
      </c>
      <c r="K393" s="5">
        <v>46086.0</v>
      </c>
      <c r="L393" s="11" t="s">
        <v>1415</v>
      </c>
      <c r="M393" s="7" t="str">
        <f>IFERROR(__xludf.DUMMYFUNCTION("TEXT(
  IF(RIGHT(A393,2)=""mo"",
    EDATE(DATEVALUE(K393), -VALUE(REGEXEXTRACT(A393,""\d+""))),
    DATEVALUE(K393) - IF(RIGHT(A393,1)=""h"", VALUE(REGEXEXTRACT(A393,""\d+""))/24,
         IF(RIGHT(A393,1)=""d"", VALUE(REGEXEXTRACT(A393,""\d+"")),
      "&amp;"   IF(RIGHT(A393,1)=""w"", VALUE(REGEXEXTRACT(A393,""\d+""))*7,
         0)))
  )
, ""YYYY-M-D"")"),"2026-2-26")</f>
        <v>2026-2-26</v>
      </c>
    </row>
    <row r="394">
      <c r="A394" s="10" t="s">
        <v>173</v>
      </c>
      <c r="B394" s="10" t="s">
        <v>1454</v>
      </c>
      <c r="C394" s="10" t="s">
        <v>15</v>
      </c>
      <c r="D394" s="10" t="s">
        <v>44</v>
      </c>
      <c r="E394" s="10" t="s">
        <v>17</v>
      </c>
      <c r="F394" s="10" t="s">
        <v>1271</v>
      </c>
      <c r="G394" s="10" t="s">
        <v>1272</v>
      </c>
      <c r="H394" s="10" t="s">
        <v>1455</v>
      </c>
      <c r="I394" s="10" t="s">
        <v>1456</v>
      </c>
      <c r="J394" s="10" t="s">
        <v>9</v>
      </c>
      <c r="K394" s="5">
        <v>46086.0</v>
      </c>
      <c r="L394" s="11" t="s">
        <v>1415</v>
      </c>
      <c r="M394" s="7" t="str">
        <f>IFERROR(__xludf.DUMMYFUNCTION("TEXT(
  IF(RIGHT(A394,2)=""mo"",
    EDATE(DATEVALUE(K394), -VALUE(REGEXEXTRACT(A394,""\d+""))),
    DATEVALUE(K394) - IF(RIGHT(A394,1)=""h"", VALUE(REGEXEXTRACT(A394,""\d+""))/24,
         IF(RIGHT(A394,1)=""d"", VALUE(REGEXEXTRACT(A394,""\d+"")),
      "&amp;"   IF(RIGHT(A394,1)=""w"", VALUE(REGEXEXTRACT(A394,""\d+""))*7,
         0)))
  )
, ""YYYY-M-D"")"),"2026-2-26")</f>
        <v>2026-2-26</v>
      </c>
    </row>
    <row r="395">
      <c r="A395" s="10" t="s">
        <v>173</v>
      </c>
      <c r="B395" s="10" t="s">
        <v>1457</v>
      </c>
      <c r="C395" s="10" t="s">
        <v>15</v>
      </c>
      <c r="D395" s="10" t="s">
        <v>16</v>
      </c>
      <c r="E395" s="10" t="s">
        <v>17</v>
      </c>
      <c r="F395" s="10" t="s">
        <v>707</v>
      </c>
      <c r="G395" s="10" t="s">
        <v>1458</v>
      </c>
      <c r="H395" s="10" t="s">
        <v>1459</v>
      </c>
      <c r="I395" s="10" t="s">
        <v>1460</v>
      </c>
      <c r="J395" s="10" t="s">
        <v>9</v>
      </c>
      <c r="K395" s="5">
        <v>46086.0</v>
      </c>
      <c r="L395" s="11" t="s">
        <v>1415</v>
      </c>
      <c r="M395" s="7" t="str">
        <f>IFERROR(__xludf.DUMMYFUNCTION("TEXT(
  IF(RIGHT(A395,2)=""mo"",
    EDATE(DATEVALUE(K395), -VALUE(REGEXEXTRACT(A395,""\d+""))),
    DATEVALUE(K395) - IF(RIGHT(A395,1)=""h"", VALUE(REGEXEXTRACT(A395,""\d+""))/24,
         IF(RIGHT(A395,1)=""d"", VALUE(REGEXEXTRACT(A395,""\d+"")),
      "&amp;"   IF(RIGHT(A395,1)=""w"", VALUE(REGEXEXTRACT(A395,""\d+""))*7,
         0)))
  )
, ""YYYY-M-D"")"),"2026-2-26")</f>
        <v>2026-2-26</v>
      </c>
    </row>
    <row r="396">
      <c r="A396" s="10" t="s">
        <v>173</v>
      </c>
      <c r="B396" s="10" t="s">
        <v>1461</v>
      </c>
      <c r="C396" s="10" t="s">
        <v>15</v>
      </c>
      <c r="D396" s="10" t="s">
        <v>16</v>
      </c>
      <c r="E396" s="10" t="s">
        <v>17</v>
      </c>
      <c r="F396" s="10" t="s">
        <v>1025</v>
      </c>
      <c r="G396" s="10" t="s">
        <v>1026</v>
      </c>
      <c r="H396" s="10" t="s">
        <v>1462</v>
      </c>
      <c r="I396" s="10" t="s">
        <v>1463</v>
      </c>
      <c r="J396" s="10" t="s">
        <v>9</v>
      </c>
      <c r="K396" s="5">
        <v>46086.0</v>
      </c>
      <c r="L396" s="11" t="s">
        <v>1415</v>
      </c>
      <c r="M396" s="7" t="str">
        <f>IFERROR(__xludf.DUMMYFUNCTION("TEXT(
  IF(RIGHT(A396,2)=""mo"",
    EDATE(DATEVALUE(K396), -VALUE(REGEXEXTRACT(A396,""\d+""))),
    DATEVALUE(K396) - IF(RIGHT(A396,1)=""h"", VALUE(REGEXEXTRACT(A396,""\d+""))/24,
         IF(RIGHT(A396,1)=""d"", VALUE(REGEXEXTRACT(A396,""\d+"")),
      "&amp;"   IF(RIGHT(A396,1)=""w"", VALUE(REGEXEXTRACT(A396,""\d+""))*7,
         0)))
  )
, ""YYYY-M-D"")"),"2026-2-26")</f>
        <v>2026-2-26</v>
      </c>
    </row>
    <row r="397">
      <c r="A397" s="10" t="s">
        <v>173</v>
      </c>
      <c r="B397" s="10" t="s">
        <v>1461</v>
      </c>
      <c r="C397" s="10" t="s">
        <v>15</v>
      </c>
      <c r="D397" s="10" t="s">
        <v>16</v>
      </c>
      <c r="E397" s="10" t="s">
        <v>17</v>
      </c>
      <c r="F397" s="10" t="s">
        <v>1025</v>
      </c>
      <c r="G397" s="10" t="s">
        <v>1036</v>
      </c>
      <c r="H397" s="10" t="s">
        <v>1464</v>
      </c>
      <c r="I397" s="10" t="s">
        <v>1465</v>
      </c>
      <c r="J397" s="10" t="s">
        <v>9</v>
      </c>
      <c r="K397" s="5">
        <v>46086.0</v>
      </c>
      <c r="L397" s="11" t="s">
        <v>1415</v>
      </c>
      <c r="M397" s="7" t="str">
        <f>IFERROR(__xludf.DUMMYFUNCTION("TEXT(
  IF(RIGHT(A397,2)=""mo"",
    EDATE(DATEVALUE(K397), -VALUE(REGEXEXTRACT(A397,""\d+""))),
    DATEVALUE(K397) - IF(RIGHT(A397,1)=""h"", VALUE(REGEXEXTRACT(A397,""\d+""))/24,
         IF(RIGHT(A397,1)=""d"", VALUE(REGEXEXTRACT(A397,""\d+"")),
      "&amp;"   IF(RIGHT(A397,1)=""w"", VALUE(REGEXEXTRACT(A397,""\d+""))*7,
         0)))
  )
, ""YYYY-M-D"")"),"2026-2-26")</f>
        <v>2026-2-26</v>
      </c>
    </row>
    <row r="398">
      <c r="A398" s="10" t="s">
        <v>173</v>
      </c>
      <c r="B398" s="10" t="s">
        <v>1466</v>
      </c>
      <c r="C398" s="10" t="s">
        <v>15</v>
      </c>
      <c r="D398" s="10" t="s">
        <v>44</v>
      </c>
      <c r="E398" s="10" t="s">
        <v>17</v>
      </c>
      <c r="F398" s="10" t="s">
        <v>125</v>
      </c>
      <c r="G398" s="10" t="s">
        <v>126</v>
      </c>
      <c r="H398" s="10" t="s">
        <v>1467</v>
      </c>
      <c r="I398" s="10" t="s">
        <v>1468</v>
      </c>
      <c r="J398" s="10" t="s">
        <v>9</v>
      </c>
      <c r="K398" s="5">
        <v>46086.0</v>
      </c>
      <c r="L398" s="11" t="s">
        <v>1415</v>
      </c>
      <c r="M398" s="7" t="str">
        <f>IFERROR(__xludf.DUMMYFUNCTION("TEXT(
  IF(RIGHT(A398,2)=""mo"",
    EDATE(DATEVALUE(K398), -VALUE(REGEXEXTRACT(A398,""\d+""))),
    DATEVALUE(K398) - IF(RIGHT(A398,1)=""h"", VALUE(REGEXEXTRACT(A398,""\d+""))/24,
         IF(RIGHT(A398,1)=""d"", VALUE(REGEXEXTRACT(A398,""\d+"")),
      "&amp;"   IF(RIGHT(A398,1)=""w"", VALUE(REGEXEXTRACT(A398,""\d+""))*7,
         0)))
  )
, ""YYYY-M-D"")"),"2026-2-26")</f>
        <v>2026-2-26</v>
      </c>
    </row>
    <row r="399">
      <c r="A399" s="10" t="s">
        <v>173</v>
      </c>
      <c r="B399" s="10" t="s">
        <v>1469</v>
      </c>
      <c r="C399" s="10" t="s">
        <v>1470</v>
      </c>
      <c r="D399" s="10" t="s">
        <v>37</v>
      </c>
      <c r="E399" s="10" t="s">
        <v>17</v>
      </c>
      <c r="F399" s="10" t="s">
        <v>163</v>
      </c>
      <c r="G399" s="10" t="s">
        <v>164</v>
      </c>
      <c r="H399" s="10" t="s">
        <v>1471</v>
      </c>
      <c r="I399" s="10" t="s">
        <v>1472</v>
      </c>
      <c r="J399" s="10" t="s">
        <v>9</v>
      </c>
      <c r="K399" s="5">
        <v>46086.0</v>
      </c>
      <c r="L399" s="11" t="s">
        <v>1415</v>
      </c>
      <c r="M399" s="7" t="str">
        <f>IFERROR(__xludf.DUMMYFUNCTION("TEXT(
  IF(RIGHT(A399,2)=""mo"",
    EDATE(DATEVALUE(K399), -VALUE(REGEXEXTRACT(A399,""\d+""))),
    DATEVALUE(K399) - IF(RIGHT(A399,1)=""h"", VALUE(REGEXEXTRACT(A399,""\d+""))/24,
         IF(RIGHT(A399,1)=""d"", VALUE(REGEXEXTRACT(A399,""\d+"")),
      "&amp;"   IF(RIGHT(A399,1)=""w"", VALUE(REGEXEXTRACT(A399,""\d+""))*7,
         0)))
  )
, ""YYYY-M-D"")"),"2026-2-26")</f>
        <v>2026-2-26</v>
      </c>
    </row>
    <row r="400">
      <c r="A400" s="10" t="s">
        <v>239</v>
      </c>
      <c r="B400" s="10" t="s">
        <v>1473</v>
      </c>
      <c r="C400" s="10" t="s">
        <v>15</v>
      </c>
      <c r="D400" s="10" t="s">
        <v>44</v>
      </c>
      <c r="E400" s="10" t="s">
        <v>17</v>
      </c>
      <c r="F400" s="10" t="s">
        <v>1474</v>
      </c>
      <c r="G400" s="10" t="s">
        <v>1475</v>
      </c>
      <c r="H400" s="10" t="s">
        <v>1476</v>
      </c>
      <c r="I400" s="10" t="s">
        <v>1477</v>
      </c>
      <c r="J400" s="10" t="s">
        <v>9</v>
      </c>
      <c r="K400" s="5">
        <v>46086.0</v>
      </c>
      <c r="L400" s="11" t="s">
        <v>1415</v>
      </c>
      <c r="M400" s="7" t="str">
        <f>IFERROR(__xludf.DUMMYFUNCTION("TEXT(
  IF(RIGHT(A400,2)=""mo"",
    EDATE(DATEVALUE(K400), -VALUE(REGEXEXTRACT(A400,""\d+""))),
    DATEVALUE(K400) - IF(RIGHT(A400,1)=""h"", VALUE(REGEXEXTRACT(A400,""\d+""))/24,
         IF(RIGHT(A400,1)=""d"", VALUE(REGEXEXTRACT(A400,""\d+"")),
      "&amp;"   IF(RIGHT(A400,1)=""w"", VALUE(REGEXEXTRACT(A400,""\d+""))*7,
         0)))
  )
, ""YYYY-M-D"")"),"2026-2-19")</f>
        <v>2026-2-19</v>
      </c>
    </row>
    <row r="401">
      <c r="A401" s="10" t="s">
        <v>239</v>
      </c>
      <c r="B401" s="10" t="s">
        <v>1478</v>
      </c>
      <c r="C401" s="10" t="s">
        <v>15</v>
      </c>
      <c r="D401" s="10" t="s">
        <v>37</v>
      </c>
      <c r="E401" s="10" t="s">
        <v>17</v>
      </c>
      <c r="F401" s="10" t="s">
        <v>444</v>
      </c>
      <c r="G401" s="10" t="s">
        <v>1479</v>
      </c>
      <c r="H401" s="10" t="s">
        <v>1480</v>
      </c>
      <c r="I401" s="10" t="s">
        <v>1481</v>
      </c>
      <c r="J401" s="10" t="s">
        <v>9</v>
      </c>
      <c r="K401" s="5">
        <v>46086.0</v>
      </c>
      <c r="L401" s="11" t="s">
        <v>1415</v>
      </c>
      <c r="M401" s="7" t="str">
        <f>IFERROR(__xludf.DUMMYFUNCTION("TEXT(
  IF(RIGHT(A401,2)=""mo"",
    EDATE(DATEVALUE(K401), -VALUE(REGEXEXTRACT(A401,""\d+""))),
    DATEVALUE(K401) - IF(RIGHT(A401,1)=""h"", VALUE(REGEXEXTRACT(A401,""\d+""))/24,
         IF(RIGHT(A401,1)=""d"", VALUE(REGEXEXTRACT(A401,""\d+"")),
      "&amp;"   IF(RIGHT(A401,1)=""w"", VALUE(REGEXEXTRACT(A401,""\d+""))*7,
         0)))
  )
, ""YYYY-M-D"")"),"2026-2-19")</f>
        <v>2026-2-19</v>
      </c>
    </row>
    <row r="402">
      <c r="A402" s="10" t="s">
        <v>321</v>
      </c>
      <c r="B402" s="10" t="s">
        <v>1438</v>
      </c>
      <c r="C402" s="10" t="s">
        <v>15</v>
      </c>
      <c r="D402" s="10" t="s">
        <v>16</v>
      </c>
      <c r="E402" s="10" t="s">
        <v>17</v>
      </c>
      <c r="F402" s="10" t="s">
        <v>1482</v>
      </c>
      <c r="G402" s="10" t="s">
        <v>1483</v>
      </c>
      <c r="H402" s="10" t="s">
        <v>1484</v>
      </c>
      <c r="I402" s="10" t="s">
        <v>1485</v>
      </c>
      <c r="J402" s="10" t="s">
        <v>9</v>
      </c>
      <c r="K402" s="5">
        <v>46086.0</v>
      </c>
      <c r="L402" s="11" t="s">
        <v>1415</v>
      </c>
      <c r="M402" s="7" t="str">
        <f>IFERROR(__xludf.DUMMYFUNCTION("TEXT(
  IF(RIGHT(A402,2)=""mo"",
    EDATE(DATEVALUE(K402), -VALUE(REGEXEXTRACT(A402,""\d+""))),
    DATEVALUE(K402) - IF(RIGHT(A402,1)=""h"", VALUE(REGEXEXTRACT(A402,""\d+""))/24,
         IF(RIGHT(A402,1)=""d"", VALUE(REGEXEXTRACT(A402,""\d+"")),
      "&amp;"   IF(RIGHT(A402,1)=""w"", VALUE(REGEXEXTRACT(A402,""\d+""))*7,
         0)))
  )
, ""YYYY-M-D"")"),"2026-2-12")</f>
        <v>2026-2-12</v>
      </c>
    </row>
    <row r="403">
      <c r="A403" s="10" t="s">
        <v>321</v>
      </c>
      <c r="B403" s="10" t="s">
        <v>1486</v>
      </c>
      <c r="C403" s="10" t="s">
        <v>15</v>
      </c>
      <c r="D403" s="10" t="s">
        <v>44</v>
      </c>
      <c r="E403" s="10" t="s">
        <v>913</v>
      </c>
      <c r="F403" s="10" t="s">
        <v>1487</v>
      </c>
      <c r="G403" s="10" t="s">
        <v>1488</v>
      </c>
      <c r="H403" s="10" t="s">
        <v>1489</v>
      </c>
      <c r="I403" s="10" t="s">
        <v>21</v>
      </c>
      <c r="J403" s="10" t="s">
        <v>9</v>
      </c>
      <c r="K403" s="5">
        <v>46086.0</v>
      </c>
      <c r="L403" s="11" t="s">
        <v>1415</v>
      </c>
      <c r="M403" s="7" t="str">
        <f>IFERROR(__xludf.DUMMYFUNCTION("TEXT(
  IF(RIGHT(A403,2)=""mo"",
    EDATE(DATEVALUE(K403), -VALUE(REGEXEXTRACT(A403,""\d+""))),
    DATEVALUE(K403) - IF(RIGHT(A403,1)=""h"", VALUE(REGEXEXTRACT(A403,""\d+""))/24,
         IF(RIGHT(A403,1)=""d"", VALUE(REGEXEXTRACT(A403,""\d+"")),
      "&amp;"   IF(RIGHT(A403,1)=""w"", VALUE(REGEXEXTRACT(A403,""\d+""))*7,
         0)))
  )
, ""YYYY-M-D"")"),"2026-2-12")</f>
        <v>2026-2-12</v>
      </c>
    </row>
    <row r="404">
      <c r="A404" s="10" t="s">
        <v>370</v>
      </c>
      <c r="B404" s="10" t="s">
        <v>1490</v>
      </c>
      <c r="C404" s="10" t="s">
        <v>1491</v>
      </c>
      <c r="D404" s="10" t="s">
        <v>37</v>
      </c>
      <c r="E404" s="10" t="s">
        <v>17</v>
      </c>
      <c r="F404" s="10" t="s">
        <v>1492</v>
      </c>
      <c r="G404" s="10" t="s">
        <v>1493</v>
      </c>
      <c r="H404" s="10" t="s">
        <v>1494</v>
      </c>
      <c r="I404" s="10" t="s">
        <v>21</v>
      </c>
      <c r="J404" s="10" t="s">
        <v>9</v>
      </c>
      <c r="K404" s="5">
        <v>46086.0</v>
      </c>
      <c r="L404" s="11" t="s">
        <v>1415</v>
      </c>
      <c r="M404" s="7" t="str">
        <f>IFERROR(__xludf.DUMMYFUNCTION("TEXT(
  IF(RIGHT(A404,2)=""mo"",
    EDATE(DATEVALUE(K404), -VALUE(REGEXEXTRACT(A404,""\d+""))),
    DATEVALUE(K404) - IF(RIGHT(A404,1)=""h"", VALUE(REGEXEXTRACT(A404,""\d+""))/24,
         IF(RIGHT(A404,1)=""d"", VALUE(REGEXEXTRACT(A404,""\d+"")),
      "&amp;"   IF(RIGHT(A404,1)=""w"", VALUE(REGEXEXTRACT(A404,""\d+""))*7,
         0)))
  )
, ""YYYY-M-D"")"),"2026-2-5")</f>
        <v>2026-2-5</v>
      </c>
    </row>
    <row r="405">
      <c r="A405" s="10" t="s">
        <v>379</v>
      </c>
      <c r="B405" s="10" t="s">
        <v>43</v>
      </c>
      <c r="C405" s="10" t="s">
        <v>15</v>
      </c>
      <c r="D405" s="10" t="s">
        <v>44</v>
      </c>
      <c r="E405" s="10" t="s">
        <v>17</v>
      </c>
      <c r="F405" s="10" t="s">
        <v>45</v>
      </c>
      <c r="G405" s="10" t="s">
        <v>823</v>
      </c>
      <c r="H405" s="10" t="s">
        <v>1495</v>
      </c>
      <c r="I405" s="10" t="s">
        <v>21</v>
      </c>
      <c r="J405" s="10" t="s">
        <v>9</v>
      </c>
      <c r="K405" s="5">
        <v>46086.0</v>
      </c>
      <c r="L405" s="11" t="s">
        <v>1415</v>
      </c>
      <c r="M405" s="7" t="str">
        <f>IFERROR(__xludf.DUMMYFUNCTION("TEXT(
  IF(RIGHT(A405,2)=""mo"",
    EDATE(DATEVALUE(K405), -VALUE(REGEXEXTRACT(A405,""\d+""))),
    DATEVALUE(K405) - IF(RIGHT(A405,1)=""h"", VALUE(REGEXEXTRACT(A405,""\d+""))/24,
         IF(RIGHT(A405,1)=""d"", VALUE(REGEXEXTRACT(A405,""\d+"")),
      "&amp;"   IF(RIGHT(A405,1)=""w"", VALUE(REGEXEXTRACT(A405,""\d+""))*7,
         0)))
  )
, ""YYYY-M-D"")"),"2026-2-5")</f>
        <v>2026-2-5</v>
      </c>
    </row>
    <row r="406">
      <c r="A406" s="10" t="s">
        <v>379</v>
      </c>
      <c r="B406" s="10" t="s">
        <v>1005</v>
      </c>
      <c r="C406" s="10" t="s">
        <v>15</v>
      </c>
      <c r="D406" s="10" t="s">
        <v>44</v>
      </c>
      <c r="E406" s="10" t="s">
        <v>17</v>
      </c>
      <c r="F406" s="10" t="s">
        <v>1496</v>
      </c>
      <c r="G406" s="10" t="s">
        <v>1497</v>
      </c>
      <c r="H406" s="10" t="s">
        <v>1008</v>
      </c>
      <c r="I406" s="10" t="s">
        <v>1009</v>
      </c>
      <c r="J406" s="10" t="s">
        <v>9</v>
      </c>
      <c r="K406" s="5">
        <v>46086.0</v>
      </c>
      <c r="L406" s="11" t="s">
        <v>1415</v>
      </c>
      <c r="M406" s="7" t="str">
        <f>IFERROR(__xludf.DUMMYFUNCTION("TEXT(
  IF(RIGHT(A406,2)=""mo"",
    EDATE(DATEVALUE(K406), -VALUE(REGEXEXTRACT(A406,""\d+""))),
    DATEVALUE(K406) - IF(RIGHT(A406,1)=""h"", VALUE(REGEXEXTRACT(A406,""\d+""))/24,
         IF(RIGHT(A406,1)=""d"", VALUE(REGEXEXTRACT(A406,""\d+"")),
      "&amp;"   IF(RIGHT(A406,1)=""w"", VALUE(REGEXEXTRACT(A406,""\d+""))*7,
         0)))
  )
, ""YYYY-M-D"")"),"2026-2-5")</f>
        <v>2026-2-5</v>
      </c>
    </row>
    <row r="407">
      <c r="A407" s="10" t="s">
        <v>379</v>
      </c>
      <c r="B407" s="10" t="s">
        <v>1498</v>
      </c>
      <c r="C407" s="10" t="s">
        <v>1499</v>
      </c>
      <c r="D407" s="10" t="s">
        <v>44</v>
      </c>
      <c r="E407" s="10" t="s">
        <v>17</v>
      </c>
      <c r="F407" s="10" t="s">
        <v>275</v>
      </c>
      <c r="G407" s="10" t="s">
        <v>276</v>
      </c>
      <c r="H407" s="10" t="s">
        <v>1500</v>
      </c>
      <c r="I407" s="10" t="s">
        <v>1501</v>
      </c>
      <c r="J407" s="10" t="s">
        <v>9</v>
      </c>
      <c r="K407" s="5">
        <v>46086.0</v>
      </c>
      <c r="L407" s="11" t="s">
        <v>1415</v>
      </c>
      <c r="M407" s="7" t="str">
        <f>IFERROR(__xludf.DUMMYFUNCTION("TEXT(
  IF(RIGHT(A407,2)=""mo"",
    EDATE(DATEVALUE(K407), -VALUE(REGEXEXTRACT(A407,""\d+""))),
    DATEVALUE(K407) - IF(RIGHT(A407,1)=""h"", VALUE(REGEXEXTRACT(A407,""\d+""))/24,
         IF(RIGHT(A407,1)=""d"", VALUE(REGEXEXTRACT(A407,""\d+"")),
      "&amp;"   IF(RIGHT(A407,1)=""w"", VALUE(REGEXEXTRACT(A407,""\d+""))*7,
         0)))
  )
, ""YYYY-M-D"")"),"2026-2-5")</f>
        <v>2026-2-5</v>
      </c>
    </row>
    <row r="408">
      <c r="A408" s="10" t="s">
        <v>379</v>
      </c>
      <c r="B408" s="10" t="s">
        <v>1502</v>
      </c>
      <c r="C408" s="10" t="s">
        <v>15</v>
      </c>
      <c r="D408" s="10" t="s">
        <v>44</v>
      </c>
      <c r="E408" s="10" t="s">
        <v>61</v>
      </c>
      <c r="F408" s="10" t="s">
        <v>214</v>
      </c>
      <c r="G408" s="10" t="s">
        <v>836</v>
      </c>
      <c r="H408" s="10" t="s">
        <v>1503</v>
      </c>
      <c r="I408" s="10" t="s">
        <v>1504</v>
      </c>
      <c r="J408" s="10" t="s">
        <v>9</v>
      </c>
      <c r="K408" s="5">
        <v>46086.0</v>
      </c>
      <c r="L408" s="11" t="s">
        <v>1415</v>
      </c>
      <c r="M408" s="7" t="str">
        <f>IFERROR(__xludf.DUMMYFUNCTION("TEXT(
  IF(RIGHT(A408,2)=""mo"",
    EDATE(DATEVALUE(K408), -VALUE(REGEXEXTRACT(A408,""\d+""))),
    DATEVALUE(K408) - IF(RIGHT(A408,1)=""h"", VALUE(REGEXEXTRACT(A408,""\d+""))/24,
         IF(RIGHT(A408,1)=""d"", VALUE(REGEXEXTRACT(A408,""\d+"")),
      "&amp;"   IF(RIGHT(A408,1)=""w"", VALUE(REGEXEXTRACT(A408,""\d+""))*7,
         0)))
  )
, ""YYYY-M-D"")"),"2026-2-5")</f>
        <v>2026-2-5</v>
      </c>
    </row>
    <row r="409">
      <c r="A409" s="10" t="s">
        <v>379</v>
      </c>
      <c r="B409" s="10" t="s">
        <v>1505</v>
      </c>
      <c r="C409" s="10" t="s">
        <v>1506</v>
      </c>
      <c r="D409" s="10" t="s">
        <v>37</v>
      </c>
      <c r="E409" s="10" t="s">
        <v>17</v>
      </c>
      <c r="F409" s="10" t="s">
        <v>317</v>
      </c>
      <c r="G409" s="10" t="s">
        <v>318</v>
      </c>
      <c r="H409" s="10" t="s">
        <v>1507</v>
      </c>
      <c r="I409" s="10" t="s">
        <v>1054</v>
      </c>
      <c r="J409" s="10" t="s">
        <v>9</v>
      </c>
      <c r="K409" s="5">
        <v>46086.0</v>
      </c>
      <c r="L409" s="11" t="s">
        <v>1415</v>
      </c>
      <c r="M409" s="7" t="str">
        <f>IFERROR(__xludf.DUMMYFUNCTION("TEXT(
  IF(RIGHT(A409,2)=""mo"",
    EDATE(DATEVALUE(K409), -VALUE(REGEXEXTRACT(A409,""\d+""))),
    DATEVALUE(K409) - IF(RIGHT(A409,1)=""h"", VALUE(REGEXEXTRACT(A409,""\d+""))/24,
         IF(RIGHT(A409,1)=""d"", VALUE(REGEXEXTRACT(A409,""\d+"")),
      "&amp;"   IF(RIGHT(A409,1)=""w"", VALUE(REGEXEXTRACT(A409,""\d+""))*7,
         0)))
  )
, ""YYYY-M-D"")"),"2026-2-5")</f>
        <v>2026-2-5</v>
      </c>
    </row>
    <row r="410">
      <c r="A410" s="10" t="s">
        <v>379</v>
      </c>
      <c r="B410" s="10" t="s">
        <v>1312</v>
      </c>
      <c r="C410" s="10" t="s">
        <v>15</v>
      </c>
      <c r="D410" s="10" t="s">
        <v>16</v>
      </c>
      <c r="E410" s="10" t="s">
        <v>17</v>
      </c>
      <c r="F410" s="10" t="s">
        <v>1313</v>
      </c>
      <c r="G410" s="10" t="s">
        <v>1508</v>
      </c>
      <c r="H410" s="10" t="s">
        <v>1315</v>
      </c>
      <c r="I410" s="10" t="s">
        <v>1316</v>
      </c>
      <c r="J410" s="10" t="s">
        <v>9</v>
      </c>
      <c r="K410" s="5">
        <v>46086.0</v>
      </c>
      <c r="L410" s="11" t="s">
        <v>1415</v>
      </c>
      <c r="M410" s="7" t="str">
        <f>IFERROR(__xludf.DUMMYFUNCTION("TEXT(
  IF(RIGHT(A410,2)=""mo"",
    EDATE(DATEVALUE(K410), -VALUE(REGEXEXTRACT(A410,""\d+""))),
    DATEVALUE(K410) - IF(RIGHT(A410,1)=""h"", VALUE(REGEXEXTRACT(A410,""\d+""))/24,
         IF(RIGHT(A410,1)=""d"", VALUE(REGEXEXTRACT(A410,""\d+"")),
      "&amp;"   IF(RIGHT(A410,1)=""w"", VALUE(REGEXEXTRACT(A410,""\d+""))*7,
         0)))
  )
, ""YYYY-M-D"")"),"2026-2-5")</f>
        <v>2026-2-5</v>
      </c>
    </row>
    <row r="411">
      <c r="A411" s="10" t="s">
        <v>379</v>
      </c>
      <c r="B411" s="10" t="s">
        <v>1509</v>
      </c>
      <c r="C411" s="10" t="s">
        <v>1510</v>
      </c>
      <c r="D411" s="10" t="s">
        <v>16</v>
      </c>
      <c r="E411" s="10" t="s">
        <v>17</v>
      </c>
      <c r="F411" s="10" t="s">
        <v>1511</v>
      </c>
      <c r="G411" s="10" t="s">
        <v>1512</v>
      </c>
      <c r="H411" s="10" t="s">
        <v>1513</v>
      </c>
      <c r="I411" s="10" t="s">
        <v>21</v>
      </c>
      <c r="J411" s="10" t="s">
        <v>9</v>
      </c>
      <c r="K411" s="5">
        <v>46086.0</v>
      </c>
      <c r="L411" s="11" t="s">
        <v>1415</v>
      </c>
      <c r="M411" s="7" t="str">
        <f>IFERROR(__xludf.DUMMYFUNCTION("TEXT(
  IF(RIGHT(A411,2)=""mo"",
    EDATE(DATEVALUE(K411), -VALUE(REGEXEXTRACT(A411,""\d+""))),
    DATEVALUE(K411) - IF(RIGHT(A411,1)=""h"", VALUE(REGEXEXTRACT(A411,""\d+""))/24,
         IF(RIGHT(A411,1)=""d"", VALUE(REGEXEXTRACT(A411,""\d+"")),
      "&amp;"   IF(RIGHT(A411,1)=""w"", VALUE(REGEXEXTRACT(A411,""\d+""))*7,
         0)))
  )
, ""YYYY-M-D"")"),"2026-2-5")</f>
        <v>2026-2-5</v>
      </c>
    </row>
    <row r="412">
      <c r="A412" s="10" t="s">
        <v>581</v>
      </c>
      <c r="B412" s="10" t="s">
        <v>1020</v>
      </c>
      <c r="C412" s="10" t="s">
        <v>1514</v>
      </c>
      <c r="D412" s="10" t="s">
        <v>37</v>
      </c>
      <c r="E412" s="10" t="s">
        <v>17</v>
      </c>
      <c r="F412" s="10" t="s">
        <v>493</v>
      </c>
      <c r="G412" s="10" t="s">
        <v>1515</v>
      </c>
      <c r="H412" s="10" t="s">
        <v>1516</v>
      </c>
      <c r="I412" s="10" t="s">
        <v>21</v>
      </c>
      <c r="J412" s="10" t="s">
        <v>9</v>
      </c>
      <c r="K412" s="5">
        <v>46086.0</v>
      </c>
      <c r="L412" s="11" t="s">
        <v>1415</v>
      </c>
      <c r="M412" s="7" t="str">
        <f>IFERROR(__xludf.DUMMYFUNCTION("TEXT(
  IF(RIGHT(A412,2)=""mo"",
    EDATE(DATEVALUE(K412), -VALUE(REGEXEXTRACT(A412,""\d+""))),
    DATEVALUE(K412) - IF(RIGHT(A412,1)=""h"", VALUE(REGEXEXTRACT(A412,""\d+""))/24,
         IF(RIGHT(A412,1)=""d"", VALUE(REGEXEXTRACT(A412,""\d+"")),
      "&amp;"   IF(RIGHT(A412,1)=""w"", VALUE(REGEXEXTRACT(A412,""\d+""))*7,
         0)))
  )
, ""YYYY-M-D"")"),"2026-1-5")</f>
        <v>2026-1-5</v>
      </c>
    </row>
    <row r="413">
      <c r="A413" s="10" t="s">
        <v>581</v>
      </c>
      <c r="B413" s="10" t="s">
        <v>1517</v>
      </c>
      <c r="C413" s="10" t="s">
        <v>15</v>
      </c>
      <c r="D413" s="10" t="s">
        <v>44</v>
      </c>
      <c r="E413" s="10" t="s">
        <v>17</v>
      </c>
      <c r="F413" s="10" t="s">
        <v>199</v>
      </c>
      <c r="G413" s="10" t="s">
        <v>1518</v>
      </c>
      <c r="H413" s="10" t="s">
        <v>1519</v>
      </c>
      <c r="I413" s="10" t="s">
        <v>1520</v>
      </c>
      <c r="J413" s="10" t="s">
        <v>9</v>
      </c>
      <c r="K413" s="5">
        <v>46086.0</v>
      </c>
      <c r="L413" s="11" t="s">
        <v>1415</v>
      </c>
      <c r="M413" s="7" t="str">
        <f>IFERROR(__xludf.DUMMYFUNCTION("TEXT(
  IF(RIGHT(A413,2)=""mo"",
    EDATE(DATEVALUE(K413), -VALUE(REGEXEXTRACT(A413,""\d+""))),
    DATEVALUE(K413) - IF(RIGHT(A413,1)=""h"", VALUE(REGEXEXTRACT(A413,""\d+""))/24,
         IF(RIGHT(A413,1)=""d"", VALUE(REGEXEXTRACT(A413,""\d+"")),
      "&amp;"   IF(RIGHT(A413,1)=""w"", VALUE(REGEXEXTRACT(A413,""\d+""))*7,
         0)))
  )
, ""YYYY-M-D"")"),"2026-1-5")</f>
        <v>2026-1-5</v>
      </c>
    </row>
    <row r="414">
      <c r="A414" s="10" t="s">
        <v>581</v>
      </c>
      <c r="B414" s="10" t="s">
        <v>1521</v>
      </c>
      <c r="C414" s="10" t="s">
        <v>15</v>
      </c>
      <c r="D414" s="10" t="s">
        <v>44</v>
      </c>
      <c r="E414" s="10" t="s">
        <v>17</v>
      </c>
      <c r="F414" s="10" t="s">
        <v>1128</v>
      </c>
      <c r="G414" s="10" t="s">
        <v>1129</v>
      </c>
      <c r="H414" s="10" t="s">
        <v>1522</v>
      </c>
      <c r="I414" s="10" t="s">
        <v>1523</v>
      </c>
      <c r="J414" s="10" t="s">
        <v>9</v>
      </c>
      <c r="K414" s="5">
        <v>46086.0</v>
      </c>
      <c r="L414" s="11" t="s">
        <v>1415</v>
      </c>
      <c r="M414" s="7" t="str">
        <f>IFERROR(__xludf.DUMMYFUNCTION("TEXT(
  IF(RIGHT(A414,2)=""mo"",
    EDATE(DATEVALUE(K414), -VALUE(REGEXEXTRACT(A414,""\d+""))),
    DATEVALUE(K414) - IF(RIGHT(A414,1)=""h"", VALUE(REGEXEXTRACT(A414,""\d+""))/24,
         IF(RIGHT(A414,1)=""d"", VALUE(REGEXEXTRACT(A414,""\d+"")),
      "&amp;"   IF(RIGHT(A414,1)=""w"", VALUE(REGEXEXTRACT(A414,""\d+""))*7,
         0)))
  )
, ""YYYY-M-D"")"),"2026-1-5")</f>
        <v>2026-1-5</v>
      </c>
    </row>
    <row r="415">
      <c r="A415" s="10" t="s">
        <v>674</v>
      </c>
      <c r="B415" s="10" t="s">
        <v>1524</v>
      </c>
      <c r="C415" s="10" t="s">
        <v>15</v>
      </c>
      <c r="D415" s="10" t="s">
        <v>37</v>
      </c>
      <c r="E415" s="10" t="s">
        <v>17</v>
      </c>
      <c r="F415" s="10" t="s">
        <v>1313</v>
      </c>
      <c r="G415" s="10" t="s">
        <v>1525</v>
      </c>
      <c r="H415" s="10" t="s">
        <v>1526</v>
      </c>
      <c r="I415" s="10" t="s">
        <v>1527</v>
      </c>
      <c r="J415" s="10" t="s">
        <v>9</v>
      </c>
      <c r="K415" s="5">
        <v>46086.0</v>
      </c>
      <c r="L415" s="11" t="s">
        <v>1415</v>
      </c>
      <c r="M415" s="7" t="str">
        <f>IFERROR(__xludf.DUMMYFUNCTION("TEXT(
  IF(RIGHT(A415,2)=""mo"",
    EDATE(DATEVALUE(K415), -VALUE(REGEXEXTRACT(A415,""\d+""))),
    DATEVALUE(K415) - IF(RIGHT(A415,1)=""h"", VALUE(REGEXEXTRACT(A415,""\d+""))/24,
         IF(RIGHT(A415,1)=""d"", VALUE(REGEXEXTRACT(A415,""\d+"")),
      "&amp;"   IF(RIGHT(A415,1)=""w"", VALUE(REGEXEXTRACT(A415,""\d+""))*7,
         0)))
  )
, ""YYYY-M-D"")"),"2025-12-5")</f>
        <v>2025-12-5</v>
      </c>
    </row>
    <row r="416">
      <c r="A416" s="10" t="s">
        <v>674</v>
      </c>
      <c r="B416" s="10" t="s">
        <v>1528</v>
      </c>
      <c r="C416" s="10" t="s">
        <v>15</v>
      </c>
      <c r="D416" s="10" t="s">
        <v>44</v>
      </c>
      <c r="E416" s="10" t="s">
        <v>17</v>
      </c>
      <c r="F416" s="10" t="s">
        <v>1529</v>
      </c>
      <c r="G416" s="10" t="s">
        <v>1530</v>
      </c>
      <c r="H416" s="10" t="s">
        <v>1531</v>
      </c>
      <c r="I416" s="10" t="s">
        <v>21</v>
      </c>
      <c r="J416" s="10" t="s">
        <v>9</v>
      </c>
      <c r="K416" s="5">
        <v>46086.0</v>
      </c>
      <c r="L416" s="11" t="s">
        <v>1415</v>
      </c>
      <c r="M416" s="7" t="str">
        <f>IFERROR(__xludf.DUMMYFUNCTION("TEXT(
  IF(RIGHT(A416,2)=""mo"",
    EDATE(DATEVALUE(K416), -VALUE(REGEXEXTRACT(A416,""\d+""))),
    DATEVALUE(K416) - IF(RIGHT(A416,1)=""h"", VALUE(REGEXEXTRACT(A416,""\d+""))/24,
         IF(RIGHT(A416,1)=""d"", VALUE(REGEXEXTRACT(A416,""\d+"")),
      "&amp;"   IF(RIGHT(A416,1)=""w"", VALUE(REGEXEXTRACT(A416,""\d+""))*7,
         0)))
  )
, ""YYYY-M-D"")"),"2025-12-5")</f>
        <v>2025-12-5</v>
      </c>
    </row>
    <row r="417">
      <c r="A417" s="10" t="s">
        <v>23</v>
      </c>
      <c r="B417" s="10" t="s">
        <v>1532</v>
      </c>
      <c r="C417" s="10" t="s">
        <v>15</v>
      </c>
      <c r="D417" s="10" t="s">
        <v>44</v>
      </c>
      <c r="E417" s="10" t="s">
        <v>1533</v>
      </c>
      <c r="F417" s="10" t="s">
        <v>1134</v>
      </c>
      <c r="G417" s="10" t="s">
        <v>1135</v>
      </c>
      <c r="H417" s="10" t="s">
        <v>1534</v>
      </c>
      <c r="I417" s="10" t="s">
        <v>1535</v>
      </c>
      <c r="J417" s="10" t="s">
        <v>9</v>
      </c>
      <c r="K417" s="5">
        <v>46086.0</v>
      </c>
      <c r="L417" s="6" t="s">
        <v>1536</v>
      </c>
      <c r="M417" s="7" t="str">
        <f>IFERROR(__xludf.DUMMYFUNCTION("TEXT(
  IF(RIGHT(A417,2)=""mo"",
    EDATE(DATEVALUE(K417), -VALUE(REGEXEXTRACT(A417,""\d+""))),
    DATEVALUE(K417) - IF(RIGHT(A417,1)=""h"", VALUE(REGEXEXTRACT(A417,""\d+""))/24,
         IF(RIGHT(A417,1)=""d"", VALUE(REGEXEXTRACT(A417,""\d+"")),
      "&amp;"   IF(RIGHT(A417,1)=""w"", VALUE(REGEXEXTRACT(A417,""\d+""))*7,
         0)))
  )
, ""YYYY-M-D"")"),"2026-3-4")</f>
        <v>2026-3-4</v>
      </c>
    </row>
    <row r="418">
      <c r="A418" s="10" t="s">
        <v>23</v>
      </c>
      <c r="B418" s="10" t="s">
        <v>1537</v>
      </c>
      <c r="C418" s="10" t="s">
        <v>15</v>
      </c>
      <c r="D418" s="10" t="s">
        <v>44</v>
      </c>
      <c r="E418" s="10" t="s">
        <v>17</v>
      </c>
      <c r="F418" s="10" t="s">
        <v>357</v>
      </c>
      <c r="G418" s="10" t="s">
        <v>1412</v>
      </c>
      <c r="H418" s="10" t="s">
        <v>1538</v>
      </c>
      <c r="I418" s="10" t="s">
        <v>1539</v>
      </c>
      <c r="J418" s="10" t="s">
        <v>9</v>
      </c>
      <c r="K418" s="5">
        <v>46086.0</v>
      </c>
      <c r="L418" s="6" t="s">
        <v>1536</v>
      </c>
      <c r="M418" s="7" t="str">
        <f>IFERROR(__xludf.DUMMYFUNCTION("TEXT(
  IF(RIGHT(A418,2)=""mo"",
    EDATE(DATEVALUE(K418), -VALUE(REGEXEXTRACT(A418,""\d+""))),
    DATEVALUE(K418) - IF(RIGHT(A418,1)=""h"", VALUE(REGEXEXTRACT(A418,""\d+""))/24,
         IF(RIGHT(A418,1)=""d"", VALUE(REGEXEXTRACT(A418,""\d+"")),
      "&amp;"   IF(RIGHT(A418,1)=""w"", VALUE(REGEXEXTRACT(A418,""\d+""))*7,
         0)))
  )
, ""YYYY-M-D"")"),"2026-3-4")</f>
        <v>2026-3-4</v>
      </c>
    </row>
    <row r="419">
      <c r="A419" s="10" t="s">
        <v>28</v>
      </c>
      <c r="B419" s="10" t="s">
        <v>1540</v>
      </c>
      <c r="C419" s="10" t="s">
        <v>15</v>
      </c>
      <c r="D419" s="10" t="s">
        <v>44</v>
      </c>
      <c r="E419" s="10" t="s">
        <v>61</v>
      </c>
      <c r="F419" s="10" t="s">
        <v>199</v>
      </c>
      <c r="G419" s="10" t="s">
        <v>1541</v>
      </c>
      <c r="H419" s="10" t="s">
        <v>1542</v>
      </c>
      <c r="I419" s="10" t="s">
        <v>1543</v>
      </c>
      <c r="J419" s="10" t="s">
        <v>9</v>
      </c>
      <c r="K419" s="5">
        <v>46086.0</v>
      </c>
      <c r="L419" s="6" t="s">
        <v>1536</v>
      </c>
      <c r="M419" s="7" t="str">
        <f>IFERROR(__xludf.DUMMYFUNCTION("TEXT(
  IF(RIGHT(A419,2)=""mo"",
    EDATE(DATEVALUE(K419), -VALUE(REGEXEXTRACT(A419,""\d+""))),
    DATEVALUE(K419) - IF(RIGHT(A419,1)=""h"", VALUE(REGEXEXTRACT(A419,""\d+""))/24,
         IF(RIGHT(A419,1)=""d"", VALUE(REGEXEXTRACT(A419,""\d+"")),
      "&amp;"   IF(RIGHT(A419,1)=""w"", VALUE(REGEXEXTRACT(A419,""\d+""))*7,
         0)))
  )
, ""YYYY-M-D"")"),"2026-3-3")</f>
        <v>2026-3-3</v>
      </c>
    </row>
    <row r="420">
      <c r="A420" s="10" t="s">
        <v>28</v>
      </c>
      <c r="B420" s="10" t="s">
        <v>1544</v>
      </c>
      <c r="C420" s="10" t="s">
        <v>15</v>
      </c>
      <c r="D420" s="10" t="s">
        <v>16</v>
      </c>
      <c r="E420" s="10" t="s">
        <v>17</v>
      </c>
      <c r="F420" s="10" t="s">
        <v>1313</v>
      </c>
      <c r="G420" s="10" t="s">
        <v>1508</v>
      </c>
      <c r="H420" s="10" t="s">
        <v>1545</v>
      </c>
      <c r="I420" s="10" t="s">
        <v>1546</v>
      </c>
      <c r="J420" s="10" t="s">
        <v>9</v>
      </c>
      <c r="K420" s="5">
        <v>46086.0</v>
      </c>
      <c r="L420" s="6" t="s">
        <v>1536</v>
      </c>
      <c r="M420" s="7" t="str">
        <f>IFERROR(__xludf.DUMMYFUNCTION("TEXT(
  IF(RIGHT(A420,2)=""mo"",
    EDATE(DATEVALUE(K420), -VALUE(REGEXEXTRACT(A420,""\d+""))),
    DATEVALUE(K420) - IF(RIGHT(A420,1)=""h"", VALUE(REGEXEXTRACT(A420,""\d+""))/24,
         IF(RIGHT(A420,1)=""d"", VALUE(REGEXEXTRACT(A420,""\d+"")),
      "&amp;"   IF(RIGHT(A420,1)=""w"", VALUE(REGEXEXTRACT(A420,""\d+""))*7,
         0)))
  )
, ""YYYY-M-D"")"),"2026-3-3")</f>
        <v>2026-3-3</v>
      </c>
    </row>
    <row r="421">
      <c r="A421" s="10" t="s">
        <v>28</v>
      </c>
      <c r="B421" s="10" t="s">
        <v>1547</v>
      </c>
      <c r="C421" s="10" t="s">
        <v>15</v>
      </c>
      <c r="D421" s="10" t="s">
        <v>44</v>
      </c>
      <c r="E421" s="10" t="s">
        <v>61</v>
      </c>
      <c r="F421" s="10" t="s">
        <v>1548</v>
      </c>
      <c r="G421" s="10" t="s">
        <v>1549</v>
      </c>
      <c r="H421" s="10" t="s">
        <v>1550</v>
      </c>
      <c r="I421" s="10" t="s">
        <v>1551</v>
      </c>
      <c r="J421" s="10" t="s">
        <v>9</v>
      </c>
      <c r="K421" s="5">
        <v>46086.0</v>
      </c>
      <c r="L421" s="6" t="s">
        <v>1536</v>
      </c>
      <c r="M421" s="7" t="str">
        <f>IFERROR(__xludf.DUMMYFUNCTION("TEXT(
  IF(RIGHT(A421,2)=""mo"",
    EDATE(DATEVALUE(K421), -VALUE(REGEXEXTRACT(A421,""\d+""))),
    DATEVALUE(K421) - IF(RIGHT(A421,1)=""h"", VALUE(REGEXEXTRACT(A421,""\d+""))/24,
         IF(RIGHT(A421,1)=""d"", VALUE(REGEXEXTRACT(A421,""\d+"")),
      "&amp;"   IF(RIGHT(A421,1)=""w"", VALUE(REGEXEXTRACT(A421,""\d+""))*7,
         0)))
  )
, ""YYYY-M-D"")"),"2026-3-3")</f>
        <v>2026-3-3</v>
      </c>
    </row>
    <row r="422">
      <c r="A422" s="10" t="s">
        <v>28</v>
      </c>
      <c r="B422" s="10" t="s">
        <v>1552</v>
      </c>
      <c r="C422" s="10" t="s">
        <v>1553</v>
      </c>
      <c r="D422" s="10" t="s">
        <v>44</v>
      </c>
      <c r="E422" s="10" t="s">
        <v>17</v>
      </c>
      <c r="F422" s="10" t="s">
        <v>1554</v>
      </c>
      <c r="G422" s="10" t="s">
        <v>1555</v>
      </c>
      <c r="H422" s="10" t="s">
        <v>1556</v>
      </c>
      <c r="I422" s="10" t="s">
        <v>21</v>
      </c>
      <c r="J422" s="10" t="s">
        <v>9</v>
      </c>
      <c r="K422" s="5">
        <v>46086.0</v>
      </c>
      <c r="L422" s="6" t="s">
        <v>1536</v>
      </c>
      <c r="M422" s="7" t="str">
        <f>IFERROR(__xludf.DUMMYFUNCTION("TEXT(
  IF(RIGHT(A422,2)=""mo"",
    EDATE(DATEVALUE(K422), -VALUE(REGEXEXTRACT(A422,""\d+""))),
    DATEVALUE(K422) - IF(RIGHT(A422,1)=""h"", VALUE(REGEXEXTRACT(A422,""\d+""))/24,
         IF(RIGHT(A422,1)=""d"", VALUE(REGEXEXTRACT(A422,""\d+"")),
      "&amp;"   IF(RIGHT(A422,1)=""w"", VALUE(REGEXEXTRACT(A422,""\d+""))*7,
         0)))
  )
, ""YYYY-M-D"")"),"2026-3-3")</f>
        <v>2026-3-3</v>
      </c>
    </row>
    <row r="423">
      <c r="A423" s="10" t="s">
        <v>28</v>
      </c>
      <c r="B423" s="10" t="s">
        <v>1557</v>
      </c>
      <c r="C423" s="10" t="s">
        <v>15</v>
      </c>
      <c r="D423" s="10" t="s">
        <v>44</v>
      </c>
      <c r="E423" s="10" t="s">
        <v>17</v>
      </c>
      <c r="F423" s="10" t="s">
        <v>1558</v>
      </c>
      <c r="G423" s="10" t="s">
        <v>1559</v>
      </c>
      <c r="H423" s="10" t="s">
        <v>1560</v>
      </c>
      <c r="I423" s="10" t="s">
        <v>1561</v>
      </c>
      <c r="J423" s="10" t="s">
        <v>9</v>
      </c>
      <c r="K423" s="5">
        <v>46086.0</v>
      </c>
      <c r="L423" s="6" t="s">
        <v>1536</v>
      </c>
      <c r="M423" s="7" t="str">
        <f>IFERROR(__xludf.DUMMYFUNCTION("TEXT(
  IF(RIGHT(A423,2)=""mo"",
    EDATE(DATEVALUE(K423), -VALUE(REGEXEXTRACT(A423,""\d+""))),
    DATEVALUE(K423) - IF(RIGHT(A423,1)=""h"", VALUE(REGEXEXTRACT(A423,""\d+""))/24,
         IF(RIGHT(A423,1)=""d"", VALUE(REGEXEXTRACT(A423,""\d+"")),
      "&amp;"   IF(RIGHT(A423,1)=""w"", VALUE(REGEXEXTRACT(A423,""\d+""))*7,
         0)))
  )
, ""YYYY-M-D"")"),"2026-3-3")</f>
        <v>2026-3-3</v>
      </c>
    </row>
    <row r="424">
      <c r="A424" s="10" t="s">
        <v>42</v>
      </c>
      <c r="B424" s="10" t="s">
        <v>1562</v>
      </c>
      <c r="C424" s="10" t="s">
        <v>15</v>
      </c>
      <c r="D424" s="10" t="s">
        <v>44</v>
      </c>
      <c r="E424" s="10" t="s">
        <v>17</v>
      </c>
      <c r="F424" s="10" t="s">
        <v>125</v>
      </c>
      <c r="G424" s="10" t="s">
        <v>1563</v>
      </c>
      <c r="H424" s="10" t="s">
        <v>1564</v>
      </c>
      <c r="I424" s="10" t="s">
        <v>1565</v>
      </c>
      <c r="J424" s="10" t="s">
        <v>9</v>
      </c>
      <c r="K424" s="5">
        <v>46086.0</v>
      </c>
      <c r="L424" s="6" t="s">
        <v>1536</v>
      </c>
      <c r="M424" s="7" t="str">
        <f>IFERROR(__xludf.DUMMYFUNCTION("TEXT(
  IF(RIGHT(A424,2)=""mo"",
    EDATE(DATEVALUE(K424), -VALUE(REGEXEXTRACT(A424,""\d+""))),
    DATEVALUE(K424) - IF(RIGHT(A424,1)=""h"", VALUE(REGEXEXTRACT(A424,""\d+""))/24,
         IF(RIGHT(A424,1)=""d"", VALUE(REGEXEXTRACT(A424,""\d+"")),
      "&amp;"   IF(RIGHT(A424,1)=""w"", VALUE(REGEXEXTRACT(A424,""\d+""))*7,
         0)))
  )
, ""YYYY-M-D"")"),"2026-3-2")</f>
        <v>2026-3-2</v>
      </c>
    </row>
    <row r="425">
      <c r="A425" s="10" t="s">
        <v>144</v>
      </c>
      <c r="B425" s="10" t="s">
        <v>1566</v>
      </c>
      <c r="C425" s="10" t="s">
        <v>15</v>
      </c>
      <c r="D425" s="10" t="s">
        <v>44</v>
      </c>
      <c r="E425" s="10" t="s">
        <v>61</v>
      </c>
      <c r="F425" s="10" t="s">
        <v>1271</v>
      </c>
      <c r="G425" s="10" t="s">
        <v>1272</v>
      </c>
      <c r="H425" s="10" t="s">
        <v>1567</v>
      </c>
      <c r="I425" s="10" t="s">
        <v>1485</v>
      </c>
      <c r="J425" s="10" t="s">
        <v>9</v>
      </c>
      <c r="K425" s="5">
        <v>46086.0</v>
      </c>
      <c r="L425" s="6" t="s">
        <v>1536</v>
      </c>
      <c r="M425" s="7" t="str">
        <f>IFERROR(__xludf.DUMMYFUNCTION("TEXT(
  IF(RIGHT(A425,2)=""mo"",
    EDATE(DATEVALUE(K425), -VALUE(REGEXEXTRACT(A425,""\d+""))),
    DATEVALUE(K425) - IF(RIGHT(A425,1)=""h"", VALUE(REGEXEXTRACT(A425,""\d+""))/24,
         IF(RIGHT(A425,1)=""d"", VALUE(REGEXEXTRACT(A425,""\d+"")),
      "&amp;"   IF(RIGHT(A425,1)=""w"", VALUE(REGEXEXTRACT(A425,""\d+""))*7,
         0)))
  )
, ""YYYY-M-D"")"),"2026-2-27")</f>
        <v>2026-2-27</v>
      </c>
    </row>
    <row r="426">
      <c r="A426" s="10" t="s">
        <v>144</v>
      </c>
      <c r="B426" s="10" t="s">
        <v>1568</v>
      </c>
      <c r="C426" s="10" t="s">
        <v>15</v>
      </c>
      <c r="D426" s="10" t="s">
        <v>16</v>
      </c>
      <c r="E426" s="10" t="s">
        <v>17</v>
      </c>
      <c r="F426" s="10" t="s">
        <v>175</v>
      </c>
      <c r="G426" s="10" t="s">
        <v>1569</v>
      </c>
      <c r="H426" s="10" t="s">
        <v>1570</v>
      </c>
      <c r="I426" s="10" t="s">
        <v>1571</v>
      </c>
      <c r="J426" s="10" t="s">
        <v>9</v>
      </c>
      <c r="K426" s="5">
        <v>46086.0</v>
      </c>
      <c r="L426" s="6" t="s">
        <v>1536</v>
      </c>
      <c r="M426" s="7" t="str">
        <f>IFERROR(__xludf.DUMMYFUNCTION("TEXT(
  IF(RIGHT(A426,2)=""mo"",
    EDATE(DATEVALUE(K426), -VALUE(REGEXEXTRACT(A426,""\d+""))),
    DATEVALUE(K426) - IF(RIGHT(A426,1)=""h"", VALUE(REGEXEXTRACT(A426,""\d+""))/24,
         IF(RIGHT(A426,1)=""d"", VALUE(REGEXEXTRACT(A426,""\d+"")),
      "&amp;"   IF(RIGHT(A426,1)=""w"", VALUE(REGEXEXTRACT(A426,""\d+""))*7,
         0)))
  )
, ""YYYY-M-D"")"),"2026-2-27")</f>
        <v>2026-2-27</v>
      </c>
    </row>
    <row r="427">
      <c r="A427" s="10" t="s">
        <v>173</v>
      </c>
      <c r="B427" s="10" t="s">
        <v>1572</v>
      </c>
      <c r="C427" s="10" t="s">
        <v>1573</v>
      </c>
      <c r="D427" s="10" t="s">
        <v>16</v>
      </c>
      <c r="E427" s="10" t="s">
        <v>17</v>
      </c>
      <c r="F427" s="10" t="s">
        <v>31</v>
      </c>
      <c r="G427" s="10" t="s">
        <v>861</v>
      </c>
      <c r="H427" s="10" t="s">
        <v>1574</v>
      </c>
      <c r="I427" s="10" t="s">
        <v>21</v>
      </c>
      <c r="J427" s="10" t="s">
        <v>9</v>
      </c>
      <c r="K427" s="5">
        <v>46086.0</v>
      </c>
      <c r="L427" s="6" t="s">
        <v>1536</v>
      </c>
      <c r="M427" s="7" t="str">
        <f>IFERROR(__xludf.DUMMYFUNCTION("TEXT(
  IF(RIGHT(A427,2)=""mo"",
    EDATE(DATEVALUE(K427), -VALUE(REGEXEXTRACT(A427,""\d+""))),
    DATEVALUE(K427) - IF(RIGHT(A427,1)=""h"", VALUE(REGEXEXTRACT(A427,""\d+""))/24,
         IF(RIGHT(A427,1)=""d"", VALUE(REGEXEXTRACT(A427,""\d+"")),
      "&amp;"   IF(RIGHT(A427,1)=""w"", VALUE(REGEXEXTRACT(A427,""\d+""))*7,
         0)))
  )
, ""YYYY-M-D"")"),"2026-2-26")</f>
        <v>2026-2-26</v>
      </c>
    </row>
    <row r="428">
      <c r="A428" s="10" t="s">
        <v>173</v>
      </c>
      <c r="B428" s="10" t="s">
        <v>1575</v>
      </c>
      <c r="C428" s="10" t="s">
        <v>15</v>
      </c>
      <c r="D428" s="10" t="s">
        <v>37</v>
      </c>
      <c r="E428" s="10" t="s">
        <v>1576</v>
      </c>
      <c r="F428" s="10" t="s">
        <v>1577</v>
      </c>
      <c r="G428" s="10" t="s">
        <v>1578</v>
      </c>
      <c r="H428" s="10" t="s">
        <v>1579</v>
      </c>
      <c r="I428" s="10" t="s">
        <v>21</v>
      </c>
      <c r="J428" s="10" t="s">
        <v>9</v>
      </c>
      <c r="K428" s="5">
        <v>46086.0</v>
      </c>
      <c r="L428" s="6" t="s">
        <v>1536</v>
      </c>
      <c r="M428" s="7" t="str">
        <f>IFERROR(__xludf.DUMMYFUNCTION("TEXT(
  IF(RIGHT(A428,2)=""mo"",
    EDATE(DATEVALUE(K428), -VALUE(REGEXEXTRACT(A428,""\d+""))),
    DATEVALUE(K428) - IF(RIGHT(A428,1)=""h"", VALUE(REGEXEXTRACT(A428,""\d+""))/24,
         IF(RIGHT(A428,1)=""d"", VALUE(REGEXEXTRACT(A428,""\d+"")),
      "&amp;"   IF(RIGHT(A428,1)=""w"", VALUE(REGEXEXTRACT(A428,""\d+""))*7,
         0)))
  )
, ""YYYY-M-D"")"),"2026-2-26")</f>
        <v>2026-2-26</v>
      </c>
    </row>
    <row r="429">
      <c r="A429" s="10" t="s">
        <v>173</v>
      </c>
      <c r="B429" s="10" t="s">
        <v>1580</v>
      </c>
      <c r="C429" s="10" t="s">
        <v>15</v>
      </c>
      <c r="D429" s="10" t="s">
        <v>44</v>
      </c>
      <c r="E429" s="10" t="s">
        <v>17</v>
      </c>
      <c r="F429" s="10" t="s">
        <v>1128</v>
      </c>
      <c r="G429" s="10" t="s">
        <v>1129</v>
      </c>
      <c r="H429" s="10" t="s">
        <v>1581</v>
      </c>
      <c r="I429" s="10" t="s">
        <v>1582</v>
      </c>
      <c r="J429" s="10" t="s">
        <v>9</v>
      </c>
      <c r="K429" s="5">
        <v>46086.0</v>
      </c>
      <c r="L429" s="6" t="s">
        <v>1536</v>
      </c>
      <c r="M429" s="7" t="str">
        <f>IFERROR(__xludf.DUMMYFUNCTION("TEXT(
  IF(RIGHT(A429,2)=""mo"",
    EDATE(DATEVALUE(K429), -VALUE(REGEXEXTRACT(A429,""\d+""))),
    DATEVALUE(K429) - IF(RIGHT(A429,1)=""h"", VALUE(REGEXEXTRACT(A429,""\d+""))/24,
         IF(RIGHT(A429,1)=""d"", VALUE(REGEXEXTRACT(A429,""\d+"")),
      "&amp;"   IF(RIGHT(A429,1)=""w"", VALUE(REGEXEXTRACT(A429,""\d+""))*7,
         0)))
  )
, ""YYYY-M-D"")"),"2026-2-26")</f>
        <v>2026-2-26</v>
      </c>
    </row>
    <row r="430">
      <c r="A430" s="10" t="s">
        <v>173</v>
      </c>
      <c r="B430" s="10" t="s">
        <v>1583</v>
      </c>
      <c r="C430" s="10" t="s">
        <v>15</v>
      </c>
      <c r="D430" s="10" t="s">
        <v>16</v>
      </c>
      <c r="E430" s="10" t="s">
        <v>17</v>
      </c>
      <c r="F430" s="10" t="s">
        <v>1147</v>
      </c>
      <c r="G430" s="10" t="s">
        <v>1148</v>
      </c>
      <c r="H430" s="10" t="s">
        <v>1584</v>
      </c>
      <c r="I430" s="10" t="s">
        <v>1585</v>
      </c>
      <c r="J430" s="10" t="s">
        <v>9</v>
      </c>
      <c r="K430" s="5">
        <v>46086.0</v>
      </c>
      <c r="L430" s="6" t="s">
        <v>1536</v>
      </c>
      <c r="M430" s="7" t="str">
        <f>IFERROR(__xludf.DUMMYFUNCTION("TEXT(
  IF(RIGHT(A430,2)=""mo"",
    EDATE(DATEVALUE(K430), -VALUE(REGEXEXTRACT(A430,""\d+""))),
    DATEVALUE(K430) - IF(RIGHT(A430,1)=""h"", VALUE(REGEXEXTRACT(A430,""\d+""))/24,
         IF(RIGHT(A430,1)=""d"", VALUE(REGEXEXTRACT(A430,""\d+"")),
      "&amp;"   IF(RIGHT(A430,1)=""w"", VALUE(REGEXEXTRACT(A430,""\d+""))*7,
         0)))
  )
, ""YYYY-M-D"")"),"2026-2-26")</f>
        <v>2026-2-26</v>
      </c>
    </row>
    <row r="431">
      <c r="A431" s="10" t="s">
        <v>173</v>
      </c>
      <c r="B431" s="10" t="s">
        <v>1586</v>
      </c>
      <c r="C431" s="10" t="s">
        <v>15</v>
      </c>
      <c r="D431" s="10" t="s">
        <v>44</v>
      </c>
      <c r="E431" s="10" t="s">
        <v>1576</v>
      </c>
      <c r="F431" s="10" t="s">
        <v>992</v>
      </c>
      <c r="G431" s="10" t="s">
        <v>1587</v>
      </c>
      <c r="H431" s="10" t="s">
        <v>1588</v>
      </c>
      <c r="I431" s="10" t="s">
        <v>21</v>
      </c>
      <c r="J431" s="10" t="s">
        <v>9</v>
      </c>
      <c r="K431" s="5">
        <v>46086.0</v>
      </c>
      <c r="L431" s="6" t="s">
        <v>1536</v>
      </c>
      <c r="M431" s="7" t="str">
        <f>IFERROR(__xludf.DUMMYFUNCTION("TEXT(
  IF(RIGHT(A431,2)=""mo"",
    EDATE(DATEVALUE(K431), -VALUE(REGEXEXTRACT(A431,""\d+""))),
    DATEVALUE(K431) - IF(RIGHT(A431,1)=""h"", VALUE(REGEXEXTRACT(A431,""\d+""))/24,
         IF(RIGHT(A431,1)=""d"", VALUE(REGEXEXTRACT(A431,""\d+"")),
      "&amp;"   IF(RIGHT(A431,1)=""w"", VALUE(REGEXEXTRACT(A431,""\d+""))*7,
         0)))
  )
, ""YYYY-M-D"")"),"2026-2-26")</f>
        <v>2026-2-26</v>
      </c>
    </row>
    <row r="432">
      <c r="A432" s="10" t="s">
        <v>173</v>
      </c>
      <c r="B432" s="10" t="s">
        <v>1589</v>
      </c>
      <c r="C432" s="10" t="s">
        <v>15</v>
      </c>
      <c r="D432" s="10" t="s">
        <v>44</v>
      </c>
      <c r="E432" s="10" t="s">
        <v>17</v>
      </c>
      <c r="F432" s="10" t="s">
        <v>1590</v>
      </c>
      <c r="G432" s="10" t="s">
        <v>1591</v>
      </c>
      <c r="H432" s="10" t="s">
        <v>1592</v>
      </c>
      <c r="I432" s="10" t="s">
        <v>1593</v>
      </c>
      <c r="J432" s="10" t="s">
        <v>9</v>
      </c>
      <c r="K432" s="5">
        <v>46086.0</v>
      </c>
      <c r="L432" s="6" t="s">
        <v>1536</v>
      </c>
      <c r="M432" s="7" t="str">
        <f>IFERROR(__xludf.DUMMYFUNCTION("TEXT(
  IF(RIGHT(A432,2)=""mo"",
    EDATE(DATEVALUE(K432), -VALUE(REGEXEXTRACT(A432,""\d+""))),
    DATEVALUE(K432) - IF(RIGHT(A432,1)=""h"", VALUE(REGEXEXTRACT(A432,""\d+""))/24,
         IF(RIGHT(A432,1)=""d"", VALUE(REGEXEXTRACT(A432,""\d+"")),
      "&amp;"   IF(RIGHT(A432,1)=""w"", VALUE(REGEXEXTRACT(A432,""\d+""))*7,
         0)))
  )
, ""YYYY-M-D"")"),"2026-2-26")</f>
        <v>2026-2-26</v>
      </c>
    </row>
    <row r="433">
      <c r="A433" s="10" t="s">
        <v>173</v>
      </c>
      <c r="B433" s="10" t="s">
        <v>1594</v>
      </c>
      <c r="C433" s="10" t="s">
        <v>15</v>
      </c>
      <c r="D433" s="10" t="s">
        <v>44</v>
      </c>
      <c r="E433" s="10" t="s">
        <v>17</v>
      </c>
      <c r="F433" s="10" t="s">
        <v>1595</v>
      </c>
      <c r="G433" s="10" t="s">
        <v>1596</v>
      </c>
      <c r="H433" s="10" t="s">
        <v>1597</v>
      </c>
      <c r="I433" s="10" t="s">
        <v>872</v>
      </c>
      <c r="J433" s="10" t="s">
        <v>9</v>
      </c>
      <c r="K433" s="5">
        <v>46086.0</v>
      </c>
      <c r="L433" s="6" t="s">
        <v>1536</v>
      </c>
      <c r="M433" s="7" t="str">
        <f>IFERROR(__xludf.DUMMYFUNCTION("TEXT(
  IF(RIGHT(A433,2)=""mo"",
    EDATE(DATEVALUE(K433), -VALUE(REGEXEXTRACT(A433,""\d+""))),
    DATEVALUE(K433) - IF(RIGHT(A433,1)=""h"", VALUE(REGEXEXTRACT(A433,""\d+""))/24,
         IF(RIGHT(A433,1)=""d"", VALUE(REGEXEXTRACT(A433,""\d+"")),
      "&amp;"   IF(RIGHT(A433,1)=""w"", VALUE(REGEXEXTRACT(A433,""\d+""))*7,
         0)))
  )
, ""YYYY-M-D"")"),"2026-2-26")</f>
        <v>2026-2-26</v>
      </c>
    </row>
    <row r="434">
      <c r="A434" s="10" t="s">
        <v>173</v>
      </c>
      <c r="B434" s="10" t="s">
        <v>1598</v>
      </c>
      <c r="C434" s="10" t="s">
        <v>15</v>
      </c>
      <c r="D434" s="10" t="s">
        <v>16</v>
      </c>
      <c r="E434" s="10" t="s">
        <v>17</v>
      </c>
      <c r="F434" s="10" t="s">
        <v>513</v>
      </c>
      <c r="G434" s="10" t="s">
        <v>514</v>
      </c>
      <c r="H434" s="10" t="s">
        <v>1599</v>
      </c>
      <c r="I434" s="10" t="s">
        <v>1600</v>
      </c>
      <c r="J434" s="10" t="s">
        <v>9</v>
      </c>
      <c r="K434" s="5">
        <v>46086.0</v>
      </c>
      <c r="L434" s="6" t="s">
        <v>1536</v>
      </c>
      <c r="M434" s="7" t="str">
        <f>IFERROR(__xludf.DUMMYFUNCTION("TEXT(
  IF(RIGHT(A434,2)=""mo"",
    EDATE(DATEVALUE(K434), -VALUE(REGEXEXTRACT(A434,""\d+""))),
    DATEVALUE(K434) - IF(RIGHT(A434,1)=""h"", VALUE(REGEXEXTRACT(A434,""\d+""))/24,
         IF(RIGHT(A434,1)=""d"", VALUE(REGEXEXTRACT(A434,""\d+"")),
      "&amp;"   IF(RIGHT(A434,1)=""w"", VALUE(REGEXEXTRACT(A434,""\d+""))*7,
         0)))
  )
, ""YYYY-M-D"")"),"2026-2-26")</f>
        <v>2026-2-26</v>
      </c>
    </row>
    <row r="435">
      <c r="A435" s="10" t="s">
        <v>239</v>
      </c>
      <c r="B435" s="10" t="s">
        <v>1601</v>
      </c>
      <c r="C435" s="10" t="s">
        <v>15</v>
      </c>
      <c r="D435" s="10" t="s">
        <v>44</v>
      </c>
      <c r="E435" s="10" t="s">
        <v>17</v>
      </c>
      <c r="F435" s="10" t="s">
        <v>1529</v>
      </c>
      <c r="G435" s="10" t="s">
        <v>1602</v>
      </c>
      <c r="H435" s="10" t="s">
        <v>1603</v>
      </c>
      <c r="I435" s="10" t="s">
        <v>1604</v>
      </c>
      <c r="J435" s="10" t="s">
        <v>9</v>
      </c>
      <c r="K435" s="5">
        <v>46086.0</v>
      </c>
      <c r="L435" s="6" t="s">
        <v>1536</v>
      </c>
      <c r="M435" s="7" t="str">
        <f>IFERROR(__xludf.DUMMYFUNCTION("TEXT(
  IF(RIGHT(A435,2)=""mo"",
    EDATE(DATEVALUE(K435), -VALUE(REGEXEXTRACT(A435,""\d+""))),
    DATEVALUE(K435) - IF(RIGHT(A435,1)=""h"", VALUE(REGEXEXTRACT(A435,""\d+""))/24,
         IF(RIGHT(A435,1)=""d"", VALUE(REGEXEXTRACT(A435,""\d+"")),
      "&amp;"   IF(RIGHT(A435,1)=""w"", VALUE(REGEXEXTRACT(A435,""\d+""))*7,
         0)))
  )
, ""YYYY-M-D"")"),"2026-2-19")</f>
        <v>2026-2-19</v>
      </c>
    </row>
    <row r="436">
      <c r="A436" s="10" t="s">
        <v>239</v>
      </c>
      <c r="B436" s="10" t="s">
        <v>1605</v>
      </c>
      <c r="C436" s="10" t="s">
        <v>1606</v>
      </c>
      <c r="D436" s="10" t="s">
        <v>44</v>
      </c>
      <c r="E436" s="10" t="s">
        <v>17</v>
      </c>
      <c r="F436" s="10" t="s">
        <v>1040</v>
      </c>
      <c r="G436" s="10" t="s">
        <v>1041</v>
      </c>
      <c r="H436" s="10" t="s">
        <v>1607</v>
      </c>
      <c r="I436" s="10" t="s">
        <v>21</v>
      </c>
      <c r="J436" s="10" t="s">
        <v>9</v>
      </c>
      <c r="K436" s="5">
        <v>46086.0</v>
      </c>
      <c r="L436" s="6" t="s">
        <v>1536</v>
      </c>
      <c r="M436" s="7" t="str">
        <f>IFERROR(__xludf.DUMMYFUNCTION("TEXT(
  IF(RIGHT(A436,2)=""mo"",
    EDATE(DATEVALUE(K436), -VALUE(REGEXEXTRACT(A436,""\d+""))),
    DATEVALUE(K436) - IF(RIGHT(A436,1)=""h"", VALUE(REGEXEXTRACT(A436,""\d+""))/24,
         IF(RIGHT(A436,1)=""d"", VALUE(REGEXEXTRACT(A436,""\d+"")),
      "&amp;"   IF(RIGHT(A436,1)=""w"", VALUE(REGEXEXTRACT(A436,""\d+""))*7,
         0)))
  )
, ""YYYY-M-D"")"),"2026-2-19")</f>
        <v>2026-2-19</v>
      </c>
    </row>
    <row r="437">
      <c r="A437" s="10" t="s">
        <v>239</v>
      </c>
      <c r="B437" s="10" t="s">
        <v>1608</v>
      </c>
      <c r="C437" s="10" t="s">
        <v>1609</v>
      </c>
      <c r="D437" s="10" t="s">
        <v>44</v>
      </c>
      <c r="E437" s="10" t="s">
        <v>17</v>
      </c>
      <c r="F437" s="10" t="s">
        <v>1610</v>
      </c>
      <c r="G437" s="10" t="s">
        <v>1611</v>
      </c>
      <c r="H437" s="10" t="s">
        <v>1612</v>
      </c>
      <c r="I437" s="10" t="s">
        <v>21</v>
      </c>
      <c r="J437" s="10" t="s">
        <v>9</v>
      </c>
      <c r="K437" s="5">
        <v>46086.0</v>
      </c>
      <c r="L437" s="6" t="s">
        <v>1536</v>
      </c>
      <c r="M437" s="7" t="str">
        <f>IFERROR(__xludf.DUMMYFUNCTION("TEXT(
  IF(RIGHT(A437,2)=""mo"",
    EDATE(DATEVALUE(K437), -VALUE(REGEXEXTRACT(A437,""\d+""))),
    DATEVALUE(K437) - IF(RIGHT(A437,1)=""h"", VALUE(REGEXEXTRACT(A437,""\d+""))/24,
         IF(RIGHT(A437,1)=""d"", VALUE(REGEXEXTRACT(A437,""\d+"")),
      "&amp;"   IF(RIGHT(A437,1)=""w"", VALUE(REGEXEXTRACT(A437,""\d+""))*7,
         0)))
  )
, ""YYYY-M-D"")"),"2026-2-19")</f>
        <v>2026-2-19</v>
      </c>
    </row>
    <row r="438">
      <c r="A438" s="10" t="s">
        <v>239</v>
      </c>
      <c r="B438" s="10" t="s">
        <v>1613</v>
      </c>
      <c r="C438" s="10" t="s">
        <v>1614</v>
      </c>
      <c r="D438" s="10" t="s">
        <v>16</v>
      </c>
      <c r="E438" s="10" t="s">
        <v>913</v>
      </c>
      <c r="F438" s="10" t="s">
        <v>1615</v>
      </c>
      <c r="G438" s="10" t="s">
        <v>1616</v>
      </c>
      <c r="H438" s="10" t="s">
        <v>1617</v>
      </c>
      <c r="I438" s="10" t="s">
        <v>1618</v>
      </c>
      <c r="J438" s="10" t="s">
        <v>9</v>
      </c>
      <c r="K438" s="5">
        <v>46086.0</v>
      </c>
      <c r="L438" s="6" t="s">
        <v>1536</v>
      </c>
      <c r="M438" s="7" t="str">
        <f>IFERROR(__xludf.DUMMYFUNCTION("TEXT(
  IF(RIGHT(A438,2)=""mo"",
    EDATE(DATEVALUE(K438), -VALUE(REGEXEXTRACT(A438,""\d+""))),
    DATEVALUE(K438) - IF(RIGHT(A438,1)=""h"", VALUE(REGEXEXTRACT(A438,""\d+""))/24,
         IF(RIGHT(A438,1)=""d"", VALUE(REGEXEXTRACT(A438,""\d+"")),
      "&amp;"   IF(RIGHT(A438,1)=""w"", VALUE(REGEXEXTRACT(A438,""\d+""))*7,
         0)))
  )
, ""YYYY-M-D"")"),"2026-2-19")</f>
        <v>2026-2-19</v>
      </c>
    </row>
    <row r="439">
      <c r="A439" s="10" t="s">
        <v>239</v>
      </c>
      <c r="B439" s="10" t="s">
        <v>1619</v>
      </c>
      <c r="C439" s="10" t="s">
        <v>15</v>
      </c>
      <c r="D439" s="10" t="s">
        <v>16</v>
      </c>
      <c r="E439" s="10" t="s">
        <v>17</v>
      </c>
      <c r="F439" s="10" t="s">
        <v>1620</v>
      </c>
      <c r="G439" s="10" t="s">
        <v>1621</v>
      </c>
      <c r="H439" s="10" t="s">
        <v>1622</v>
      </c>
      <c r="I439" s="10" t="s">
        <v>1623</v>
      </c>
      <c r="J439" s="10" t="s">
        <v>9</v>
      </c>
      <c r="K439" s="5">
        <v>46086.0</v>
      </c>
      <c r="L439" s="6" t="s">
        <v>1536</v>
      </c>
      <c r="M439" s="7" t="str">
        <f>IFERROR(__xludf.DUMMYFUNCTION("TEXT(
  IF(RIGHT(A439,2)=""mo"",
    EDATE(DATEVALUE(K439), -VALUE(REGEXEXTRACT(A439,""\d+""))),
    DATEVALUE(K439) - IF(RIGHT(A439,1)=""h"", VALUE(REGEXEXTRACT(A439,""\d+""))/24,
         IF(RIGHT(A439,1)=""d"", VALUE(REGEXEXTRACT(A439,""\d+"")),
      "&amp;"   IF(RIGHT(A439,1)=""w"", VALUE(REGEXEXTRACT(A439,""\d+""))*7,
         0)))
  )
, ""YYYY-M-D"")"),"2026-2-19")</f>
        <v>2026-2-19</v>
      </c>
    </row>
    <row r="440">
      <c r="A440" s="10" t="s">
        <v>239</v>
      </c>
      <c r="B440" s="10" t="s">
        <v>1624</v>
      </c>
      <c r="C440" s="10" t="s">
        <v>15</v>
      </c>
      <c r="D440" s="10" t="s">
        <v>44</v>
      </c>
      <c r="E440" s="10" t="s">
        <v>17</v>
      </c>
      <c r="F440" s="10" t="s">
        <v>1625</v>
      </c>
      <c r="G440" s="10" t="s">
        <v>1626</v>
      </c>
      <c r="H440" s="10" t="s">
        <v>1627</v>
      </c>
      <c r="I440" s="10" t="s">
        <v>1628</v>
      </c>
      <c r="J440" s="10" t="s">
        <v>9</v>
      </c>
      <c r="K440" s="5">
        <v>46086.0</v>
      </c>
      <c r="L440" s="6" t="s">
        <v>1536</v>
      </c>
      <c r="M440" s="7" t="str">
        <f>IFERROR(__xludf.DUMMYFUNCTION("TEXT(
  IF(RIGHT(A440,2)=""mo"",
    EDATE(DATEVALUE(K440), -VALUE(REGEXEXTRACT(A440,""\d+""))),
    DATEVALUE(K440) - IF(RIGHT(A440,1)=""h"", VALUE(REGEXEXTRACT(A440,""\d+""))/24,
         IF(RIGHT(A440,1)=""d"", VALUE(REGEXEXTRACT(A440,""\d+"")),
      "&amp;"   IF(RIGHT(A440,1)=""w"", VALUE(REGEXEXTRACT(A440,""\d+""))*7,
         0)))
  )
, ""YYYY-M-D"")"),"2026-2-19")</f>
        <v>2026-2-19</v>
      </c>
    </row>
    <row r="441">
      <c r="A441" s="10" t="s">
        <v>239</v>
      </c>
      <c r="B441" s="10" t="s">
        <v>1629</v>
      </c>
      <c r="C441" s="10" t="s">
        <v>15</v>
      </c>
      <c r="D441" s="10" t="s">
        <v>16</v>
      </c>
      <c r="E441" s="10" t="s">
        <v>17</v>
      </c>
      <c r="F441" s="10" t="s">
        <v>1511</v>
      </c>
      <c r="G441" s="10" t="s">
        <v>1630</v>
      </c>
      <c r="H441" s="10" t="s">
        <v>1631</v>
      </c>
      <c r="I441" s="10" t="s">
        <v>1632</v>
      </c>
      <c r="J441" s="10" t="s">
        <v>9</v>
      </c>
      <c r="K441" s="5">
        <v>46086.0</v>
      </c>
      <c r="L441" s="6" t="s">
        <v>1536</v>
      </c>
      <c r="M441" s="7" t="str">
        <f>IFERROR(__xludf.DUMMYFUNCTION("TEXT(
  IF(RIGHT(A441,2)=""mo"",
    EDATE(DATEVALUE(K441), -VALUE(REGEXEXTRACT(A441,""\d+""))),
    DATEVALUE(K441) - IF(RIGHT(A441,1)=""h"", VALUE(REGEXEXTRACT(A441,""\d+""))/24,
         IF(RIGHT(A441,1)=""d"", VALUE(REGEXEXTRACT(A441,""\d+"")),
      "&amp;"   IF(RIGHT(A441,1)=""w"", VALUE(REGEXEXTRACT(A441,""\d+""))*7,
         0)))
  )
, ""YYYY-M-D"")"),"2026-2-19")</f>
        <v>2026-2-19</v>
      </c>
    </row>
    <row r="442">
      <c r="A442" s="10" t="s">
        <v>321</v>
      </c>
      <c r="B442" s="10" t="s">
        <v>1633</v>
      </c>
      <c r="C442" s="10" t="s">
        <v>1614</v>
      </c>
      <c r="D442" s="10" t="s">
        <v>44</v>
      </c>
      <c r="E442" s="10" t="s">
        <v>17</v>
      </c>
      <c r="F442" s="10" t="s">
        <v>1634</v>
      </c>
      <c r="G442" s="10" t="s">
        <v>1635</v>
      </c>
      <c r="H442" s="10" t="s">
        <v>1636</v>
      </c>
      <c r="I442" s="10" t="s">
        <v>1637</v>
      </c>
      <c r="J442" s="10" t="s">
        <v>9</v>
      </c>
      <c r="K442" s="5">
        <v>46086.0</v>
      </c>
      <c r="L442" s="6" t="s">
        <v>1536</v>
      </c>
      <c r="M442" s="7" t="str">
        <f>IFERROR(__xludf.DUMMYFUNCTION("TEXT(
  IF(RIGHT(A442,2)=""mo"",
    EDATE(DATEVALUE(K442), -VALUE(REGEXEXTRACT(A442,""\d+""))),
    DATEVALUE(K442) - IF(RIGHT(A442,1)=""h"", VALUE(REGEXEXTRACT(A442,""\d+""))/24,
         IF(RIGHT(A442,1)=""d"", VALUE(REGEXEXTRACT(A442,""\d+"")),
      "&amp;"   IF(RIGHT(A442,1)=""w"", VALUE(REGEXEXTRACT(A442,""\d+""))*7,
         0)))
  )
, ""YYYY-M-D"")"),"2026-2-12")</f>
        <v>2026-2-12</v>
      </c>
    </row>
    <row r="443">
      <c r="A443" s="10" t="s">
        <v>321</v>
      </c>
      <c r="B443" s="10" t="s">
        <v>1638</v>
      </c>
      <c r="C443" s="10" t="s">
        <v>15</v>
      </c>
      <c r="D443" s="10" t="s">
        <v>16</v>
      </c>
      <c r="E443" s="10" t="s">
        <v>17</v>
      </c>
      <c r="F443" s="10" t="s">
        <v>91</v>
      </c>
      <c r="G443" s="10" t="s">
        <v>92</v>
      </c>
      <c r="H443" s="10" t="s">
        <v>1639</v>
      </c>
      <c r="I443" s="10" t="s">
        <v>1640</v>
      </c>
      <c r="J443" s="10" t="s">
        <v>9</v>
      </c>
      <c r="K443" s="5">
        <v>46086.0</v>
      </c>
      <c r="L443" s="6" t="s">
        <v>1536</v>
      </c>
      <c r="M443" s="7" t="str">
        <f>IFERROR(__xludf.DUMMYFUNCTION("TEXT(
  IF(RIGHT(A443,2)=""mo"",
    EDATE(DATEVALUE(K443), -VALUE(REGEXEXTRACT(A443,""\d+""))),
    DATEVALUE(K443) - IF(RIGHT(A443,1)=""h"", VALUE(REGEXEXTRACT(A443,""\d+""))/24,
         IF(RIGHT(A443,1)=""d"", VALUE(REGEXEXTRACT(A443,""\d+"")),
      "&amp;"   IF(RIGHT(A443,1)=""w"", VALUE(REGEXEXTRACT(A443,""\d+""))*7,
         0)))
  )
, ""YYYY-M-D"")"),"2026-2-12")</f>
        <v>2026-2-12</v>
      </c>
    </row>
    <row r="444">
      <c r="A444" s="10" t="s">
        <v>321</v>
      </c>
      <c r="B444" s="10" t="s">
        <v>1641</v>
      </c>
      <c r="C444" s="10" t="s">
        <v>1642</v>
      </c>
      <c r="D444" s="10" t="s">
        <v>44</v>
      </c>
      <c r="E444" s="10" t="s">
        <v>17</v>
      </c>
      <c r="F444" s="10" t="s">
        <v>50</v>
      </c>
      <c r="G444" s="10" t="s">
        <v>1643</v>
      </c>
      <c r="H444" s="10" t="s">
        <v>1644</v>
      </c>
      <c r="I444" s="10" t="s">
        <v>21</v>
      </c>
      <c r="J444" s="10" t="s">
        <v>9</v>
      </c>
      <c r="K444" s="5">
        <v>46086.0</v>
      </c>
      <c r="L444" s="6" t="s">
        <v>1536</v>
      </c>
      <c r="M444" s="7" t="str">
        <f>IFERROR(__xludf.DUMMYFUNCTION("TEXT(
  IF(RIGHT(A444,2)=""mo"",
    EDATE(DATEVALUE(K444), -VALUE(REGEXEXTRACT(A444,""\d+""))),
    DATEVALUE(K444) - IF(RIGHT(A444,1)=""h"", VALUE(REGEXEXTRACT(A444,""\d+""))/24,
         IF(RIGHT(A444,1)=""d"", VALUE(REGEXEXTRACT(A444,""\d+"")),
      "&amp;"   IF(RIGHT(A444,1)=""w"", VALUE(REGEXEXTRACT(A444,""\d+""))*7,
         0)))
  )
, ""YYYY-M-D"")"),"2026-2-12")</f>
        <v>2026-2-12</v>
      </c>
    </row>
    <row r="445">
      <c r="A445" s="10" t="s">
        <v>321</v>
      </c>
      <c r="B445" s="10" t="s">
        <v>1645</v>
      </c>
      <c r="C445" s="10" t="s">
        <v>1646</v>
      </c>
      <c r="D445" s="10" t="s">
        <v>16</v>
      </c>
      <c r="E445" s="10" t="s">
        <v>17</v>
      </c>
      <c r="F445" s="10" t="s">
        <v>107</v>
      </c>
      <c r="G445" s="10" t="s">
        <v>108</v>
      </c>
      <c r="H445" s="10" t="s">
        <v>1647</v>
      </c>
      <c r="I445" s="10" t="s">
        <v>1648</v>
      </c>
      <c r="J445" s="10" t="s">
        <v>9</v>
      </c>
      <c r="K445" s="5">
        <v>46086.0</v>
      </c>
      <c r="L445" s="6" t="s">
        <v>1536</v>
      </c>
      <c r="M445" s="7" t="str">
        <f>IFERROR(__xludf.DUMMYFUNCTION("TEXT(
  IF(RIGHT(A445,2)=""mo"",
    EDATE(DATEVALUE(K445), -VALUE(REGEXEXTRACT(A445,""\d+""))),
    DATEVALUE(K445) - IF(RIGHT(A445,1)=""h"", VALUE(REGEXEXTRACT(A445,""\d+""))/24,
         IF(RIGHT(A445,1)=""d"", VALUE(REGEXEXTRACT(A445,""\d+"")),
      "&amp;"   IF(RIGHT(A445,1)=""w"", VALUE(REGEXEXTRACT(A445,""\d+""))*7,
         0)))
  )
, ""YYYY-M-D"")"),"2026-2-12")</f>
        <v>2026-2-12</v>
      </c>
    </row>
    <row r="446">
      <c r="A446" s="10" t="s">
        <v>321</v>
      </c>
      <c r="B446" s="10" t="s">
        <v>1649</v>
      </c>
      <c r="C446" s="10" t="s">
        <v>1650</v>
      </c>
      <c r="D446" s="10" t="s">
        <v>44</v>
      </c>
      <c r="E446" s="10" t="s">
        <v>17</v>
      </c>
      <c r="F446" s="10" t="s">
        <v>1157</v>
      </c>
      <c r="G446" s="10" t="s">
        <v>1158</v>
      </c>
      <c r="H446" s="10" t="s">
        <v>1651</v>
      </c>
      <c r="I446" s="10" t="s">
        <v>21</v>
      </c>
      <c r="J446" s="10" t="s">
        <v>9</v>
      </c>
      <c r="K446" s="5">
        <v>46086.0</v>
      </c>
      <c r="L446" s="6" t="s">
        <v>1536</v>
      </c>
      <c r="M446" s="7" t="str">
        <f>IFERROR(__xludf.DUMMYFUNCTION("TEXT(
  IF(RIGHT(A446,2)=""mo"",
    EDATE(DATEVALUE(K446), -VALUE(REGEXEXTRACT(A446,""\d+""))),
    DATEVALUE(K446) - IF(RIGHT(A446,1)=""h"", VALUE(REGEXEXTRACT(A446,""\d+""))/24,
         IF(RIGHT(A446,1)=""d"", VALUE(REGEXEXTRACT(A446,""\d+"")),
      "&amp;"   IF(RIGHT(A446,1)=""w"", VALUE(REGEXEXTRACT(A446,""\d+""))*7,
         0)))
  )
, ""YYYY-M-D"")"),"2026-2-12")</f>
        <v>2026-2-12</v>
      </c>
    </row>
    <row r="447">
      <c r="A447" s="10" t="s">
        <v>370</v>
      </c>
      <c r="B447" s="10" t="s">
        <v>1652</v>
      </c>
      <c r="C447" s="10" t="s">
        <v>15</v>
      </c>
      <c r="D447" s="10" t="s">
        <v>44</v>
      </c>
      <c r="E447" s="10" t="s">
        <v>17</v>
      </c>
      <c r="F447" s="10" t="s">
        <v>466</v>
      </c>
      <c r="G447" s="10" t="s">
        <v>467</v>
      </c>
      <c r="H447" s="10" t="s">
        <v>1653</v>
      </c>
      <c r="I447" s="10" t="s">
        <v>1654</v>
      </c>
      <c r="J447" s="10" t="s">
        <v>9</v>
      </c>
      <c r="K447" s="5">
        <v>46086.0</v>
      </c>
      <c r="L447" s="6" t="s">
        <v>1536</v>
      </c>
      <c r="M447" s="7" t="str">
        <f>IFERROR(__xludf.DUMMYFUNCTION("TEXT(
  IF(RIGHT(A447,2)=""mo"",
    EDATE(DATEVALUE(K447), -VALUE(REGEXEXTRACT(A447,""\d+""))),
    DATEVALUE(K447) - IF(RIGHT(A447,1)=""h"", VALUE(REGEXEXTRACT(A447,""\d+""))/24,
         IF(RIGHT(A447,1)=""d"", VALUE(REGEXEXTRACT(A447,""\d+"")),
      "&amp;"   IF(RIGHT(A447,1)=""w"", VALUE(REGEXEXTRACT(A447,""\d+""))*7,
         0)))
  )
, ""YYYY-M-D"")"),"2026-2-5")</f>
        <v>2026-2-5</v>
      </c>
    </row>
    <row r="448">
      <c r="A448" s="10" t="s">
        <v>379</v>
      </c>
      <c r="B448" s="10" t="s">
        <v>1060</v>
      </c>
      <c r="C448" s="10" t="s">
        <v>15</v>
      </c>
      <c r="D448" s="10" t="s">
        <v>16</v>
      </c>
      <c r="E448" s="10" t="s">
        <v>17</v>
      </c>
      <c r="F448" s="10" t="s">
        <v>1061</v>
      </c>
      <c r="G448" s="10" t="s">
        <v>1655</v>
      </c>
      <c r="H448" s="10" t="s">
        <v>1656</v>
      </c>
      <c r="I448" s="10" t="s">
        <v>21</v>
      </c>
      <c r="J448" s="10" t="s">
        <v>9</v>
      </c>
      <c r="K448" s="5">
        <v>46086.0</v>
      </c>
      <c r="L448" s="6" t="s">
        <v>1536</v>
      </c>
      <c r="M448" s="7" t="str">
        <f>IFERROR(__xludf.DUMMYFUNCTION("TEXT(
  IF(RIGHT(A448,2)=""mo"",
    EDATE(DATEVALUE(K448), -VALUE(REGEXEXTRACT(A448,""\d+""))),
    DATEVALUE(K448) - IF(RIGHT(A448,1)=""h"", VALUE(REGEXEXTRACT(A448,""\d+""))/24,
         IF(RIGHT(A448,1)=""d"", VALUE(REGEXEXTRACT(A448,""\d+"")),
      "&amp;"   IF(RIGHT(A448,1)=""w"", VALUE(REGEXEXTRACT(A448,""\d+""))*7,
         0)))
  )
, ""YYYY-M-D"")"),"2026-2-5")</f>
        <v>2026-2-5</v>
      </c>
    </row>
    <row r="449">
      <c r="A449" s="10" t="s">
        <v>379</v>
      </c>
      <c r="B449" s="10" t="s">
        <v>1657</v>
      </c>
      <c r="C449" s="10" t="s">
        <v>1658</v>
      </c>
      <c r="D449" s="10" t="s">
        <v>37</v>
      </c>
      <c r="E449" s="10" t="s">
        <v>17</v>
      </c>
      <c r="F449" s="10" t="s">
        <v>1659</v>
      </c>
      <c r="G449" s="10" t="s">
        <v>1660</v>
      </c>
      <c r="H449" s="10" t="s">
        <v>1661</v>
      </c>
      <c r="I449" s="10" t="s">
        <v>1662</v>
      </c>
      <c r="J449" s="10" t="s">
        <v>9</v>
      </c>
      <c r="K449" s="5">
        <v>46086.0</v>
      </c>
      <c r="L449" s="6" t="s">
        <v>1536</v>
      </c>
      <c r="M449" s="7" t="str">
        <f>IFERROR(__xludf.DUMMYFUNCTION("TEXT(
  IF(RIGHT(A449,2)=""mo"",
    EDATE(DATEVALUE(K449), -VALUE(REGEXEXTRACT(A449,""\d+""))),
    DATEVALUE(K449) - IF(RIGHT(A449,1)=""h"", VALUE(REGEXEXTRACT(A449,""\d+""))/24,
         IF(RIGHT(A449,1)=""d"", VALUE(REGEXEXTRACT(A449,""\d+"")),
      "&amp;"   IF(RIGHT(A449,1)=""w"", VALUE(REGEXEXTRACT(A449,""\d+""))*7,
         0)))
  )
, ""YYYY-M-D"")"),"2026-2-5")</f>
        <v>2026-2-5</v>
      </c>
    </row>
    <row r="450">
      <c r="A450" s="10" t="s">
        <v>379</v>
      </c>
      <c r="B450" s="10" t="s">
        <v>1663</v>
      </c>
      <c r="C450" s="10" t="s">
        <v>15</v>
      </c>
      <c r="D450" s="10" t="s">
        <v>44</v>
      </c>
      <c r="E450" s="10" t="s">
        <v>17</v>
      </c>
      <c r="F450" s="10" t="s">
        <v>1094</v>
      </c>
      <c r="G450" s="10" t="s">
        <v>1664</v>
      </c>
      <c r="H450" s="10" t="s">
        <v>1665</v>
      </c>
      <c r="I450" s="10" t="s">
        <v>1666</v>
      </c>
      <c r="J450" s="10" t="s">
        <v>9</v>
      </c>
      <c r="K450" s="5">
        <v>46086.0</v>
      </c>
      <c r="L450" s="6" t="s">
        <v>1536</v>
      </c>
      <c r="M450" s="7" t="str">
        <f>IFERROR(__xludf.DUMMYFUNCTION("TEXT(
  IF(RIGHT(A450,2)=""mo"",
    EDATE(DATEVALUE(K450), -VALUE(REGEXEXTRACT(A450,""\d+""))),
    DATEVALUE(K450) - IF(RIGHT(A450,1)=""h"", VALUE(REGEXEXTRACT(A450,""\d+""))/24,
         IF(RIGHT(A450,1)=""d"", VALUE(REGEXEXTRACT(A450,""\d+"")),
      "&amp;"   IF(RIGHT(A450,1)=""w"", VALUE(REGEXEXTRACT(A450,""\d+""))*7,
         0)))
  )
, ""YYYY-M-D"")"),"2026-2-5")</f>
        <v>2026-2-5</v>
      </c>
    </row>
    <row r="451">
      <c r="A451" s="10" t="s">
        <v>379</v>
      </c>
      <c r="B451" s="10" t="s">
        <v>1667</v>
      </c>
      <c r="C451" s="10" t="s">
        <v>15</v>
      </c>
      <c r="D451" s="10" t="s">
        <v>16</v>
      </c>
      <c r="E451" s="10" t="s">
        <v>17</v>
      </c>
      <c r="F451" s="10" t="s">
        <v>1668</v>
      </c>
      <c r="G451" s="10" t="s">
        <v>1669</v>
      </c>
      <c r="H451" s="10" t="s">
        <v>1670</v>
      </c>
      <c r="I451" s="10" t="s">
        <v>1671</v>
      </c>
      <c r="J451" s="10" t="s">
        <v>9</v>
      </c>
      <c r="K451" s="5">
        <v>46086.0</v>
      </c>
      <c r="L451" s="6" t="s">
        <v>1536</v>
      </c>
      <c r="M451" s="7" t="str">
        <f>IFERROR(__xludf.DUMMYFUNCTION("TEXT(
  IF(RIGHT(A451,2)=""mo"",
    EDATE(DATEVALUE(K451), -VALUE(REGEXEXTRACT(A451,""\d+""))),
    DATEVALUE(K451) - IF(RIGHT(A451,1)=""h"", VALUE(REGEXEXTRACT(A451,""\d+""))/24,
         IF(RIGHT(A451,1)=""d"", VALUE(REGEXEXTRACT(A451,""\d+"")),
      "&amp;"   IF(RIGHT(A451,1)=""w"", VALUE(REGEXEXTRACT(A451,""\d+""))*7,
         0)))
  )
, ""YYYY-M-D"")"),"2026-2-5")</f>
        <v>2026-2-5</v>
      </c>
    </row>
    <row r="452">
      <c r="A452" s="10" t="s">
        <v>379</v>
      </c>
      <c r="B452" s="10" t="s">
        <v>1672</v>
      </c>
      <c r="C452" s="10" t="s">
        <v>1673</v>
      </c>
      <c r="D452" s="10" t="s">
        <v>44</v>
      </c>
      <c r="E452" s="10" t="s">
        <v>17</v>
      </c>
      <c r="F452" s="10" t="s">
        <v>1222</v>
      </c>
      <c r="G452" s="10" t="s">
        <v>1223</v>
      </c>
      <c r="H452" s="10" t="s">
        <v>1674</v>
      </c>
      <c r="I452" s="10" t="s">
        <v>872</v>
      </c>
      <c r="J452" s="10" t="s">
        <v>9</v>
      </c>
      <c r="K452" s="5">
        <v>46086.0</v>
      </c>
      <c r="L452" s="6" t="s">
        <v>1536</v>
      </c>
      <c r="M452" s="7" t="str">
        <f>IFERROR(__xludf.DUMMYFUNCTION("TEXT(
  IF(RIGHT(A452,2)=""mo"",
    EDATE(DATEVALUE(K452), -VALUE(REGEXEXTRACT(A452,""\d+""))),
    DATEVALUE(K452) - IF(RIGHT(A452,1)=""h"", VALUE(REGEXEXTRACT(A452,""\d+""))/24,
         IF(RIGHT(A452,1)=""d"", VALUE(REGEXEXTRACT(A452,""\d+"")),
      "&amp;"   IF(RIGHT(A452,1)=""w"", VALUE(REGEXEXTRACT(A452,""\d+""))*7,
         0)))
  )
, ""YYYY-M-D"")"),"2026-2-5")</f>
        <v>2026-2-5</v>
      </c>
    </row>
    <row r="453">
      <c r="A453" s="10" t="s">
        <v>379</v>
      </c>
      <c r="B453" s="10" t="s">
        <v>1675</v>
      </c>
      <c r="C453" s="10" t="s">
        <v>15</v>
      </c>
      <c r="D453" s="10" t="s">
        <v>44</v>
      </c>
      <c r="E453" s="10" t="s">
        <v>1576</v>
      </c>
      <c r="F453" s="10" t="s">
        <v>1391</v>
      </c>
      <c r="G453" s="10" t="s">
        <v>1392</v>
      </c>
      <c r="H453" s="10" t="s">
        <v>1676</v>
      </c>
      <c r="I453" s="10" t="s">
        <v>1677</v>
      </c>
      <c r="J453" s="10" t="s">
        <v>9</v>
      </c>
      <c r="K453" s="5">
        <v>46086.0</v>
      </c>
      <c r="L453" s="6" t="s">
        <v>1536</v>
      </c>
      <c r="M453" s="7" t="str">
        <f>IFERROR(__xludf.DUMMYFUNCTION("TEXT(
  IF(RIGHT(A453,2)=""mo"",
    EDATE(DATEVALUE(K453), -VALUE(REGEXEXTRACT(A453,""\d+""))),
    DATEVALUE(K453) - IF(RIGHT(A453,1)=""h"", VALUE(REGEXEXTRACT(A453,""\d+""))/24,
         IF(RIGHT(A453,1)=""d"", VALUE(REGEXEXTRACT(A453,""\d+"")),
      "&amp;"   IF(RIGHT(A453,1)=""w"", VALUE(REGEXEXTRACT(A453,""\d+""))*7,
         0)))
  )
, ""YYYY-M-D"")"),"2026-2-5")</f>
        <v>2026-2-5</v>
      </c>
    </row>
    <row r="454">
      <c r="A454" s="10" t="s">
        <v>379</v>
      </c>
      <c r="B454" s="10" t="s">
        <v>1678</v>
      </c>
      <c r="C454" s="10" t="s">
        <v>15</v>
      </c>
      <c r="D454" s="10" t="s">
        <v>44</v>
      </c>
      <c r="E454" s="10" t="s">
        <v>17</v>
      </c>
      <c r="F454" s="10" t="s">
        <v>1434</v>
      </c>
      <c r="G454" s="10" t="s">
        <v>1679</v>
      </c>
      <c r="H454" s="10" t="s">
        <v>1680</v>
      </c>
      <c r="I454" s="10" t="s">
        <v>21</v>
      </c>
      <c r="J454" s="10" t="s">
        <v>9</v>
      </c>
      <c r="K454" s="5">
        <v>46086.0</v>
      </c>
      <c r="L454" s="6" t="s">
        <v>1536</v>
      </c>
      <c r="M454" s="7" t="str">
        <f>IFERROR(__xludf.DUMMYFUNCTION("TEXT(
  IF(RIGHT(A454,2)=""mo"",
    EDATE(DATEVALUE(K454), -VALUE(REGEXEXTRACT(A454,""\d+""))),
    DATEVALUE(K454) - IF(RIGHT(A454,1)=""h"", VALUE(REGEXEXTRACT(A454,""\d+""))/24,
         IF(RIGHT(A454,1)=""d"", VALUE(REGEXEXTRACT(A454,""\d+"")),
      "&amp;"   IF(RIGHT(A454,1)=""w"", VALUE(REGEXEXTRACT(A454,""\d+""))*7,
         0)))
  )
, ""YYYY-M-D"")"),"2026-2-5")</f>
        <v>2026-2-5</v>
      </c>
    </row>
    <row r="455">
      <c r="A455" s="10" t="s">
        <v>379</v>
      </c>
      <c r="B455" s="10" t="s">
        <v>1681</v>
      </c>
      <c r="C455" s="10" t="s">
        <v>15</v>
      </c>
      <c r="D455" s="10" t="s">
        <v>16</v>
      </c>
      <c r="E455" s="10" t="s">
        <v>17</v>
      </c>
      <c r="F455" s="10" t="s">
        <v>1377</v>
      </c>
      <c r="G455" s="10" t="s">
        <v>1682</v>
      </c>
      <c r="H455" s="10" t="s">
        <v>1683</v>
      </c>
      <c r="I455" s="10" t="s">
        <v>21</v>
      </c>
      <c r="J455" s="10" t="s">
        <v>9</v>
      </c>
      <c r="K455" s="5">
        <v>46086.0</v>
      </c>
      <c r="L455" s="6" t="s">
        <v>1536</v>
      </c>
      <c r="M455" s="7" t="str">
        <f>IFERROR(__xludf.DUMMYFUNCTION("TEXT(
  IF(RIGHT(A455,2)=""mo"",
    EDATE(DATEVALUE(K455), -VALUE(REGEXEXTRACT(A455,""\d+""))),
    DATEVALUE(K455) - IF(RIGHT(A455,1)=""h"", VALUE(REGEXEXTRACT(A455,""\d+""))/24,
         IF(RIGHT(A455,1)=""d"", VALUE(REGEXEXTRACT(A455,""\d+"")),
      "&amp;"   IF(RIGHT(A455,1)=""w"", VALUE(REGEXEXTRACT(A455,""\d+""))*7,
         0)))
  )
, ""YYYY-M-D"")"),"2026-2-5")</f>
        <v>2026-2-5</v>
      </c>
    </row>
    <row r="456">
      <c r="A456" s="10" t="s">
        <v>379</v>
      </c>
      <c r="B456" s="10" t="s">
        <v>1684</v>
      </c>
      <c r="C456" s="10" t="s">
        <v>15</v>
      </c>
      <c r="D456" s="10" t="s">
        <v>16</v>
      </c>
      <c r="E456" s="10" t="s">
        <v>17</v>
      </c>
      <c r="F456" s="10" t="s">
        <v>460</v>
      </c>
      <c r="G456" s="10" t="s">
        <v>970</v>
      </c>
      <c r="H456" s="10" t="s">
        <v>1685</v>
      </c>
      <c r="I456" s="10" t="s">
        <v>21</v>
      </c>
      <c r="J456" s="10" t="s">
        <v>9</v>
      </c>
      <c r="K456" s="5">
        <v>46086.0</v>
      </c>
      <c r="L456" s="6" t="s">
        <v>1536</v>
      </c>
      <c r="M456" s="7" t="str">
        <f>IFERROR(__xludf.DUMMYFUNCTION("TEXT(
  IF(RIGHT(A456,2)=""mo"",
    EDATE(DATEVALUE(K456), -VALUE(REGEXEXTRACT(A456,""\d+""))),
    DATEVALUE(K456) - IF(RIGHT(A456,1)=""h"", VALUE(REGEXEXTRACT(A456,""\d+""))/24,
         IF(RIGHT(A456,1)=""d"", VALUE(REGEXEXTRACT(A456,""\d+"")),
      "&amp;"   IF(RIGHT(A456,1)=""w"", VALUE(REGEXEXTRACT(A456,""\d+""))*7,
         0)))
  )
, ""YYYY-M-D"")"),"2026-2-5")</f>
        <v>2026-2-5</v>
      </c>
    </row>
    <row r="457">
      <c r="A457" s="10" t="s">
        <v>379</v>
      </c>
      <c r="B457" s="10" t="s">
        <v>1686</v>
      </c>
      <c r="C457" s="10" t="s">
        <v>518</v>
      </c>
      <c r="D457" s="10" t="s">
        <v>37</v>
      </c>
      <c r="E457" s="10" t="s">
        <v>17</v>
      </c>
      <c r="F457" s="10" t="s">
        <v>269</v>
      </c>
      <c r="G457" s="10" t="s">
        <v>850</v>
      </c>
      <c r="H457" s="10" t="s">
        <v>1687</v>
      </c>
      <c r="I457" s="10" t="s">
        <v>1688</v>
      </c>
      <c r="J457" s="10" t="s">
        <v>9</v>
      </c>
      <c r="K457" s="5">
        <v>46086.0</v>
      </c>
      <c r="L457" s="6" t="s">
        <v>1536</v>
      </c>
      <c r="M457" s="7" t="str">
        <f>IFERROR(__xludf.DUMMYFUNCTION("TEXT(
  IF(RIGHT(A457,2)=""mo"",
    EDATE(DATEVALUE(K457), -VALUE(REGEXEXTRACT(A457,""\d+""))),
    DATEVALUE(K457) - IF(RIGHT(A457,1)=""h"", VALUE(REGEXEXTRACT(A457,""\d+""))/24,
         IF(RIGHT(A457,1)=""d"", VALUE(REGEXEXTRACT(A457,""\d+"")),
      "&amp;"   IF(RIGHT(A457,1)=""w"", VALUE(REGEXEXTRACT(A457,""\d+""))*7,
         0)))
  )
, ""YYYY-M-D"")"),"2026-2-5")</f>
        <v>2026-2-5</v>
      </c>
    </row>
    <row r="458">
      <c r="A458" s="10" t="s">
        <v>379</v>
      </c>
      <c r="B458" s="10" t="s">
        <v>1689</v>
      </c>
      <c r="C458" s="10" t="s">
        <v>15</v>
      </c>
      <c r="D458" s="10" t="s">
        <v>44</v>
      </c>
      <c r="E458" s="10" t="s">
        <v>17</v>
      </c>
      <c r="F458" s="10" t="s">
        <v>1396</v>
      </c>
      <c r="G458" s="10" t="s">
        <v>1397</v>
      </c>
      <c r="H458" s="10" t="s">
        <v>1690</v>
      </c>
      <c r="I458" s="10" t="s">
        <v>1691</v>
      </c>
      <c r="J458" s="10" t="s">
        <v>9</v>
      </c>
      <c r="K458" s="5">
        <v>46086.0</v>
      </c>
      <c r="L458" s="6" t="s">
        <v>1536</v>
      </c>
      <c r="M458" s="7" t="str">
        <f>IFERROR(__xludf.DUMMYFUNCTION("TEXT(
  IF(RIGHT(A458,2)=""mo"",
    EDATE(DATEVALUE(K458), -VALUE(REGEXEXTRACT(A458,""\d+""))),
    DATEVALUE(K458) - IF(RIGHT(A458,1)=""h"", VALUE(REGEXEXTRACT(A458,""\d+""))/24,
         IF(RIGHT(A458,1)=""d"", VALUE(REGEXEXTRACT(A458,""\d+"")),
      "&amp;"   IF(RIGHT(A458,1)=""w"", VALUE(REGEXEXTRACT(A458,""\d+""))*7,
         0)))
  )
, ""YYYY-M-D"")"),"2026-2-5")</f>
        <v>2026-2-5</v>
      </c>
    </row>
    <row r="459">
      <c r="A459" s="10" t="s">
        <v>379</v>
      </c>
      <c r="B459" s="10" t="s">
        <v>1692</v>
      </c>
      <c r="C459" s="10" t="s">
        <v>15</v>
      </c>
      <c r="D459" s="10" t="s">
        <v>44</v>
      </c>
      <c r="E459" s="10" t="s">
        <v>17</v>
      </c>
      <c r="F459" s="10" t="s">
        <v>1693</v>
      </c>
      <c r="G459" s="10" t="s">
        <v>1694</v>
      </c>
      <c r="H459" s="10" t="s">
        <v>1695</v>
      </c>
      <c r="I459" s="10" t="s">
        <v>1696</v>
      </c>
      <c r="J459" s="10" t="s">
        <v>9</v>
      </c>
      <c r="K459" s="5">
        <v>46086.0</v>
      </c>
      <c r="L459" s="6" t="s">
        <v>1536</v>
      </c>
      <c r="M459" s="7" t="str">
        <f>IFERROR(__xludf.DUMMYFUNCTION("TEXT(
  IF(RIGHT(A459,2)=""mo"",
    EDATE(DATEVALUE(K459), -VALUE(REGEXEXTRACT(A459,""\d+""))),
    DATEVALUE(K459) - IF(RIGHT(A459,1)=""h"", VALUE(REGEXEXTRACT(A459,""\d+""))/24,
         IF(RIGHT(A459,1)=""d"", VALUE(REGEXEXTRACT(A459,""\d+"")),
      "&amp;"   IF(RIGHT(A459,1)=""w"", VALUE(REGEXEXTRACT(A459,""\d+""))*7,
         0)))
  )
, ""YYYY-M-D"")"),"2026-2-5")</f>
        <v>2026-2-5</v>
      </c>
    </row>
    <row r="460">
      <c r="A460" s="10" t="s">
        <v>379</v>
      </c>
      <c r="B460" s="10" t="s">
        <v>1697</v>
      </c>
      <c r="C460" s="10" t="s">
        <v>15</v>
      </c>
      <c r="D460" s="10" t="s">
        <v>16</v>
      </c>
      <c r="E460" s="10" t="s">
        <v>61</v>
      </c>
      <c r="F460" s="10" t="s">
        <v>885</v>
      </c>
      <c r="G460" s="10" t="s">
        <v>1698</v>
      </c>
      <c r="H460" s="10" t="s">
        <v>1699</v>
      </c>
      <c r="I460" s="10" t="s">
        <v>21</v>
      </c>
      <c r="J460" s="10" t="s">
        <v>9</v>
      </c>
      <c r="K460" s="5">
        <v>46086.0</v>
      </c>
      <c r="L460" s="6" t="s">
        <v>1536</v>
      </c>
      <c r="M460" s="7" t="str">
        <f>IFERROR(__xludf.DUMMYFUNCTION("TEXT(
  IF(RIGHT(A460,2)=""mo"",
    EDATE(DATEVALUE(K460), -VALUE(REGEXEXTRACT(A460,""\d+""))),
    DATEVALUE(K460) - IF(RIGHT(A460,1)=""h"", VALUE(REGEXEXTRACT(A460,""\d+""))/24,
         IF(RIGHT(A460,1)=""d"", VALUE(REGEXEXTRACT(A460,""\d+"")),
      "&amp;"   IF(RIGHT(A460,1)=""w"", VALUE(REGEXEXTRACT(A460,""\d+""))*7,
         0)))
  )
, ""YYYY-M-D"")"),"2026-2-5")</f>
        <v>2026-2-5</v>
      </c>
    </row>
    <row r="461">
      <c r="A461" s="10" t="s">
        <v>379</v>
      </c>
      <c r="B461" s="10" t="s">
        <v>1700</v>
      </c>
      <c r="C461" s="10" t="s">
        <v>15</v>
      </c>
      <c r="D461" s="10" t="s">
        <v>16</v>
      </c>
      <c r="E461" s="10" t="s">
        <v>17</v>
      </c>
      <c r="F461" s="10" t="s">
        <v>1313</v>
      </c>
      <c r="G461" s="10" t="s">
        <v>1508</v>
      </c>
      <c r="H461" s="10" t="s">
        <v>1701</v>
      </c>
      <c r="I461" s="10" t="s">
        <v>1702</v>
      </c>
      <c r="J461" s="10" t="s">
        <v>9</v>
      </c>
      <c r="K461" s="5">
        <v>46086.0</v>
      </c>
      <c r="L461" s="6" t="s">
        <v>1536</v>
      </c>
      <c r="M461" s="7" t="str">
        <f>IFERROR(__xludf.DUMMYFUNCTION("TEXT(
  IF(RIGHT(A461,2)=""mo"",
    EDATE(DATEVALUE(K461), -VALUE(REGEXEXTRACT(A461,""\d+""))),
    DATEVALUE(K461) - IF(RIGHT(A461,1)=""h"", VALUE(REGEXEXTRACT(A461,""\d+""))/24,
         IF(RIGHT(A461,1)=""d"", VALUE(REGEXEXTRACT(A461,""\d+"")),
      "&amp;"   IF(RIGHT(A461,1)=""w"", VALUE(REGEXEXTRACT(A461,""\d+""))*7,
         0)))
  )
, ""YYYY-M-D"")"),"2026-2-5")</f>
        <v>2026-2-5</v>
      </c>
    </row>
    <row r="462">
      <c r="A462" s="10" t="s">
        <v>581</v>
      </c>
      <c r="B462" s="10" t="s">
        <v>1703</v>
      </c>
      <c r="C462" s="10" t="s">
        <v>15</v>
      </c>
      <c r="D462" s="10" t="s">
        <v>44</v>
      </c>
      <c r="E462" s="10" t="s">
        <v>17</v>
      </c>
      <c r="F462" s="10" t="s">
        <v>1704</v>
      </c>
      <c r="G462" s="10" t="s">
        <v>1705</v>
      </c>
      <c r="H462" s="10" t="s">
        <v>1706</v>
      </c>
      <c r="I462" s="10" t="s">
        <v>21</v>
      </c>
      <c r="J462" s="10" t="s">
        <v>9</v>
      </c>
      <c r="K462" s="5">
        <v>46086.0</v>
      </c>
      <c r="L462" s="6" t="s">
        <v>1536</v>
      </c>
      <c r="M462" s="7" t="str">
        <f>IFERROR(__xludf.DUMMYFUNCTION("TEXT(
  IF(RIGHT(A462,2)=""mo"",
    EDATE(DATEVALUE(K462), -VALUE(REGEXEXTRACT(A462,""\d+""))),
    DATEVALUE(K462) - IF(RIGHT(A462,1)=""h"", VALUE(REGEXEXTRACT(A462,""\d+""))/24,
         IF(RIGHT(A462,1)=""d"", VALUE(REGEXEXTRACT(A462,""\d+"")),
      "&amp;"   IF(RIGHT(A462,1)=""w"", VALUE(REGEXEXTRACT(A462,""\d+""))*7,
         0)))
  )
, ""YYYY-M-D"")"),"2026-1-5")</f>
        <v>2026-1-5</v>
      </c>
    </row>
    <row r="463">
      <c r="A463" s="10" t="s">
        <v>581</v>
      </c>
      <c r="B463" s="10" t="s">
        <v>1707</v>
      </c>
      <c r="C463" s="10" t="s">
        <v>15</v>
      </c>
      <c r="D463" s="10" t="s">
        <v>44</v>
      </c>
      <c r="E463" s="10" t="s">
        <v>17</v>
      </c>
      <c r="F463" s="10" t="s">
        <v>1708</v>
      </c>
      <c r="G463" s="10" t="s">
        <v>1709</v>
      </c>
      <c r="H463" s="10" t="s">
        <v>1710</v>
      </c>
      <c r="I463" s="10" t="s">
        <v>1711</v>
      </c>
      <c r="J463" s="10" t="s">
        <v>9</v>
      </c>
      <c r="K463" s="5">
        <v>46086.0</v>
      </c>
      <c r="L463" s="6" t="s">
        <v>1536</v>
      </c>
      <c r="M463" s="7" t="str">
        <f>IFERROR(__xludf.DUMMYFUNCTION("TEXT(
  IF(RIGHT(A463,2)=""mo"",
    EDATE(DATEVALUE(K463), -VALUE(REGEXEXTRACT(A463,""\d+""))),
    DATEVALUE(K463) - IF(RIGHT(A463,1)=""h"", VALUE(REGEXEXTRACT(A463,""\d+""))/24,
         IF(RIGHT(A463,1)=""d"", VALUE(REGEXEXTRACT(A463,""\d+"")),
      "&amp;"   IF(RIGHT(A463,1)=""w"", VALUE(REGEXEXTRACT(A463,""\d+""))*7,
         0)))
  )
, ""YYYY-M-D"")"),"2026-1-5")</f>
        <v>2026-1-5</v>
      </c>
    </row>
    <row r="464">
      <c r="A464" s="10" t="s">
        <v>674</v>
      </c>
      <c r="B464" s="10" t="s">
        <v>1712</v>
      </c>
      <c r="C464" s="10" t="s">
        <v>15</v>
      </c>
      <c r="D464" s="10" t="s">
        <v>44</v>
      </c>
      <c r="E464" s="10" t="s">
        <v>17</v>
      </c>
      <c r="F464" s="10" t="s">
        <v>219</v>
      </c>
      <c r="G464" s="10" t="s">
        <v>1713</v>
      </c>
      <c r="H464" s="10" t="s">
        <v>1714</v>
      </c>
      <c r="I464" s="10" t="s">
        <v>1715</v>
      </c>
      <c r="J464" s="10" t="s">
        <v>9</v>
      </c>
      <c r="K464" s="5">
        <v>46086.0</v>
      </c>
      <c r="L464" s="6" t="s">
        <v>1536</v>
      </c>
      <c r="M464" s="7" t="str">
        <f>IFERROR(__xludf.DUMMYFUNCTION("TEXT(
  IF(RIGHT(A464,2)=""mo"",
    EDATE(DATEVALUE(K464), -VALUE(REGEXEXTRACT(A464,""\d+""))),
    DATEVALUE(K464) - IF(RIGHT(A464,1)=""h"", VALUE(REGEXEXTRACT(A464,""\d+""))/24,
         IF(RIGHT(A464,1)=""d"", VALUE(REGEXEXTRACT(A464,""\d+"")),
      "&amp;"   IF(RIGHT(A464,1)=""w"", VALUE(REGEXEXTRACT(A464,""\d+""))*7,
         0)))
  )
, ""YYYY-M-D"")"),"2025-12-5")</f>
        <v>2025-12-5</v>
      </c>
    </row>
    <row r="465">
      <c r="A465" s="10" t="s">
        <v>674</v>
      </c>
      <c r="B465" s="10" t="s">
        <v>1716</v>
      </c>
      <c r="C465" s="10" t="s">
        <v>15</v>
      </c>
      <c r="D465" s="10" t="s">
        <v>16</v>
      </c>
      <c r="E465" s="10" t="s">
        <v>17</v>
      </c>
      <c r="F465" s="10" t="s">
        <v>1119</v>
      </c>
      <c r="G465" s="10" t="s">
        <v>1717</v>
      </c>
      <c r="H465" s="10" t="s">
        <v>1718</v>
      </c>
      <c r="I465" s="10" t="s">
        <v>21</v>
      </c>
      <c r="J465" s="10" t="s">
        <v>9</v>
      </c>
      <c r="K465" s="5">
        <v>46086.0</v>
      </c>
      <c r="L465" s="6" t="s">
        <v>1536</v>
      </c>
      <c r="M465" s="7" t="str">
        <f>IFERROR(__xludf.DUMMYFUNCTION("TEXT(
  IF(RIGHT(A465,2)=""mo"",
    EDATE(DATEVALUE(K465), -VALUE(REGEXEXTRACT(A465,""\d+""))),
    DATEVALUE(K465) - IF(RIGHT(A465,1)=""h"", VALUE(REGEXEXTRACT(A465,""\d+""))/24,
         IF(RIGHT(A465,1)=""d"", VALUE(REGEXEXTRACT(A465,""\d+"")),
      "&amp;"   IF(RIGHT(A465,1)=""w"", VALUE(REGEXEXTRACT(A465,""\d+""))*7,
         0)))
  )
, ""YYYY-M-D"")"),"2025-12-5")</f>
        <v>2025-12-5</v>
      </c>
    </row>
    <row r="466">
      <c r="A466" s="10" t="s">
        <v>674</v>
      </c>
      <c r="B466" s="10" t="s">
        <v>1719</v>
      </c>
      <c r="C466" s="10" t="s">
        <v>15</v>
      </c>
      <c r="D466" s="10" t="s">
        <v>44</v>
      </c>
      <c r="E466" s="10" t="s">
        <v>67</v>
      </c>
      <c r="F466" s="10" t="s">
        <v>1720</v>
      </c>
      <c r="G466" s="10" t="s">
        <v>1721</v>
      </c>
      <c r="H466" s="10" t="s">
        <v>1722</v>
      </c>
      <c r="I466" s="10" t="s">
        <v>21</v>
      </c>
      <c r="J466" s="10" t="s">
        <v>9</v>
      </c>
      <c r="K466" s="5">
        <v>46086.0</v>
      </c>
      <c r="L466" s="6" t="s">
        <v>1536</v>
      </c>
      <c r="M466" s="7" t="str">
        <f>IFERROR(__xludf.DUMMYFUNCTION("TEXT(
  IF(RIGHT(A466,2)=""mo"",
    EDATE(DATEVALUE(K466), -VALUE(REGEXEXTRACT(A466,""\d+""))),
    DATEVALUE(K466) - IF(RIGHT(A466,1)=""h"", VALUE(REGEXEXTRACT(A466,""\d+""))/24,
         IF(RIGHT(A466,1)=""d"", VALUE(REGEXEXTRACT(A466,""\d+"")),
      "&amp;"   IF(RIGHT(A466,1)=""w"", VALUE(REGEXEXTRACT(A466,""\d+""))*7,
         0)))
  )
, ""YYYY-M-D"")"),"2025-12-5")</f>
        <v>2025-12-5</v>
      </c>
    </row>
    <row r="467">
      <c r="A467" s="10" t="s">
        <v>674</v>
      </c>
      <c r="B467" s="10" t="s">
        <v>1723</v>
      </c>
      <c r="C467" s="10" t="s">
        <v>15</v>
      </c>
      <c r="D467" s="10" t="s">
        <v>44</v>
      </c>
      <c r="E467" s="10" t="s">
        <v>17</v>
      </c>
      <c r="F467" s="10" t="s">
        <v>1724</v>
      </c>
      <c r="G467" s="10" t="s">
        <v>1725</v>
      </c>
      <c r="H467" s="10" t="s">
        <v>1726</v>
      </c>
      <c r="I467" s="10" t="s">
        <v>1727</v>
      </c>
      <c r="J467" s="10" t="s">
        <v>9</v>
      </c>
      <c r="K467" s="5">
        <v>46086.0</v>
      </c>
      <c r="L467" s="6" t="s">
        <v>1536</v>
      </c>
      <c r="M467" s="7" t="str">
        <f>IFERROR(__xludf.DUMMYFUNCTION("TEXT(
  IF(RIGHT(A467,2)=""mo"",
    EDATE(DATEVALUE(K467), -VALUE(REGEXEXTRACT(A467,""\d+""))),
    DATEVALUE(K467) - IF(RIGHT(A467,1)=""h"", VALUE(REGEXEXTRACT(A467,""\d+""))/24,
         IF(RIGHT(A467,1)=""d"", VALUE(REGEXEXTRACT(A467,""\d+"")),
      "&amp;"   IF(RIGHT(A467,1)=""w"", VALUE(REGEXEXTRACT(A467,""\d+""))*7,
         0)))
  )
, ""YYYY-M-D"")"),"2025-12-5")</f>
        <v>2025-12-5</v>
      </c>
    </row>
    <row r="468">
      <c r="A468" s="10" t="s">
        <v>714</v>
      </c>
      <c r="B468" s="10" t="s">
        <v>1728</v>
      </c>
      <c r="C468" s="10" t="s">
        <v>268</v>
      </c>
      <c r="D468" s="10" t="s">
        <v>37</v>
      </c>
      <c r="E468" s="10" t="s">
        <v>67</v>
      </c>
      <c r="F468" s="10" t="s">
        <v>1729</v>
      </c>
      <c r="G468" s="10" t="s">
        <v>1730</v>
      </c>
      <c r="H468" s="10" t="s">
        <v>1731</v>
      </c>
      <c r="I468" s="10" t="s">
        <v>21</v>
      </c>
      <c r="J468" s="10" t="s">
        <v>9</v>
      </c>
      <c r="K468" s="5">
        <v>46086.0</v>
      </c>
      <c r="L468" s="6" t="s">
        <v>1536</v>
      </c>
      <c r="M468" s="7" t="str">
        <f>IFERROR(__xludf.DUMMYFUNCTION("TEXT(
  IF(RIGHT(A468,2)=""mo"",
    EDATE(DATEVALUE(K468), -VALUE(REGEXEXTRACT(A468,""\d+""))),
    DATEVALUE(K468) - IF(RIGHT(A468,1)=""h"", VALUE(REGEXEXTRACT(A468,""\d+""))/24,
         IF(RIGHT(A468,1)=""d"", VALUE(REGEXEXTRACT(A468,""\d+"")),
      "&amp;"   IF(RIGHT(A468,1)=""w"", VALUE(REGEXEXTRACT(A468,""\d+""))*7,
         0)))
  )
, ""YYYY-M-D"")"),"2025-11-5")</f>
        <v>2025-11-5</v>
      </c>
    </row>
    <row r="469">
      <c r="A469" s="10" t="s">
        <v>731</v>
      </c>
      <c r="B469" s="10" t="s">
        <v>1732</v>
      </c>
      <c r="C469" s="10" t="s">
        <v>268</v>
      </c>
      <c r="D469" s="10" t="s">
        <v>37</v>
      </c>
      <c r="E469" s="10" t="s">
        <v>67</v>
      </c>
      <c r="F469" s="10" t="s">
        <v>1733</v>
      </c>
      <c r="G469" s="10" t="s">
        <v>1734</v>
      </c>
      <c r="H469" s="10" t="s">
        <v>1735</v>
      </c>
      <c r="I469" s="10" t="s">
        <v>1736</v>
      </c>
      <c r="J469" s="10" t="s">
        <v>9</v>
      </c>
      <c r="K469" s="12">
        <v>46086.0</v>
      </c>
      <c r="L469" s="11" t="s">
        <v>1737</v>
      </c>
      <c r="M469" s="7" t="str">
        <f>IFERROR(__xludf.DUMMYFUNCTION("TEXT(
  IF(RIGHT(A469,2)=""mo"",
    EDATE(DATEVALUE(K469), -VALUE(REGEXEXTRACT(A469,""\d+""))),
    DATEVALUE(K469) - IF(RIGHT(A469,1)=""h"", VALUE(REGEXEXTRACT(A469,""\d+""))/24,
         IF(RIGHT(A469,1)=""d"", VALUE(REGEXEXTRACT(A469,""\d+"")),
      "&amp;"   IF(RIGHT(A469,1)=""w"", VALUE(REGEXEXTRACT(A469,""\d+""))*7,
         0)))
  )
, ""YYYY-M-D"")"),"2025-10-5")</f>
        <v>2025-10-5</v>
      </c>
    </row>
    <row r="470">
      <c r="A470" s="10" t="s">
        <v>173</v>
      </c>
      <c r="B470" s="10" t="s">
        <v>1461</v>
      </c>
      <c r="C470" s="10" t="s">
        <v>15</v>
      </c>
      <c r="D470" s="10" t="s">
        <v>16</v>
      </c>
      <c r="E470" s="10" t="s">
        <v>17</v>
      </c>
      <c r="F470" s="10" t="s">
        <v>1025</v>
      </c>
      <c r="G470" s="10" t="s">
        <v>1026</v>
      </c>
      <c r="H470" s="10" t="s">
        <v>1462</v>
      </c>
      <c r="I470" s="10" t="s">
        <v>1463</v>
      </c>
      <c r="J470" s="10" t="s">
        <v>9</v>
      </c>
      <c r="K470" s="12">
        <v>46086.0</v>
      </c>
      <c r="L470" s="11" t="s">
        <v>1737</v>
      </c>
      <c r="M470" s="7" t="str">
        <f>IFERROR(__xludf.DUMMYFUNCTION("TEXT(
  IF(RIGHT(A470,2)=""mo"",
    EDATE(DATEVALUE(K470), -VALUE(REGEXEXTRACT(A470,""\d+""))),
    DATEVALUE(K470) - IF(RIGHT(A470,1)=""h"", VALUE(REGEXEXTRACT(A470,""\d+""))/24,
         IF(RIGHT(A470,1)=""d"", VALUE(REGEXEXTRACT(A470,""\d+"")),
      "&amp;"   IF(RIGHT(A470,1)=""w"", VALUE(REGEXEXTRACT(A470,""\d+""))*7,
         0)))
  )
, ""YYYY-M-D"")"),"2026-2-26")</f>
        <v>2026-2-26</v>
      </c>
    </row>
    <row r="471">
      <c r="A471" s="10" t="s">
        <v>173</v>
      </c>
      <c r="B471" s="10" t="s">
        <v>1461</v>
      </c>
      <c r="C471" s="10" t="s">
        <v>15</v>
      </c>
      <c r="D471" s="10" t="s">
        <v>16</v>
      </c>
      <c r="E471" s="10" t="s">
        <v>17</v>
      </c>
      <c r="F471" s="10" t="s">
        <v>1025</v>
      </c>
      <c r="G471" s="10" t="s">
        <v>1036</v>
      </c>
      <c r="H471" s="10" t="s">
        <v>1464</v>
      </c>
      <c r="I471" s="10" t="s">
        <v>1465</v>
      </c>
      <c r="J471" s="10" t="s">
        <v>9</v>
      </c>
      <c r="K471" s="12">
        <v>46086.0</v>
      </c>
      <c r="L471" s="11" t="s">
        <v>1737</v>
      </c>
      <c r="M471" s="7" t="str">
        <f>IFERROR(__xludf.DUMMYFUNCTION("TEXT(
  IF(RIGHT(A471,2)=""mo"",
    EDATE(DATEVALUE(K471), -VALUE(REGEXEXTRACT(A471,""\d+""))),
    DATEVALUE(K471) - IF(RIGHT(A471,1)=""h"", VALUE(REGEXEXTRACT(A471,""\d+""))/24,
         IF(RIGHT(A471,1)=""d"", VALUE(REGEXEXTRACT(A471,""\d+"")),
      "&amp;"   IF(RIGHT(A471,1)=""w"", VALUE(REGEXEXTRACT(A471,""\d+""))*7,
         0)))
  )
, ""YYYY-M-D"")"),"2026-2-26")</f>
        <v>2026-2-26</v>
      </c>
    </row>
    <row r="472">
      <c r="A472" s="10" t="s">
        <v>239</v>
      </c>
      <c r="B472" s="10" t="s">
        <v>1738</v>
      </c>
      <c r="C472" s="10" t="s">
        <v>1739</v>
      </c>
      <c r="D472" s="10" t="s">
        <v>37</v>
      </c>
      <c r="E472" s="10" t="s">
        <v>17</v>
      </c>
      <c r="F472" s="10" t="s">
        <v>890</v>
      </c>
      <c r="G472" s="10" t="s">
        <v>1451</v>
      </c>
      <c r="H472" s="10" t="s">
        <v>1740</v>
      </c>
      <c r="I472" s="10" t="s">
        <v>21</v>
      </c>
      <c r="J472" s="10" t="s">
        <v>9</v>
      </c>
      <c r="K472" s="12">
        <v>46086.0</v>
      </c>
      <c r="L472" s="11" t="s">
        <v>1737</v>
      </c>
      <c r="M472" s="7" t="str">
        <f>IFERROR(__xludf.DUMMYFUNCTION("TEXT(
  IF(RIGHT(A472,2)=""mo"",
    EDATE(DATEVALUE(K472), -VALUE(REGEXEXTRACT(A472,""\d+""))),
    DATEVALUE(K472) - IF(RIGHT(A472,1)=""h"", VALUE(REGEXEXTRACT(A472,""\d+""))/24,
         IF(RIGHT(A472,1)=""d"", VALUE(REGEXEXTRACT(A472,""\d+"")),
      "&amp;"   IF(RIGHT(A472,1)=""w"", VALUE(REGEXEXTRACT(A472,""\d+""))*7,
         0)))
  )
, ""YYYY-M-D"")"),"2026-2-19")</f>
        <v>2026-2-19</v>
      </c>
    </row>
    <row r="473">
      <c r="A473" s="10" t="s">
        <v>173</v>
      </c>
      <c r="B473" s="10" t="s">
        <v>1741</v>
      </c>
      <c r="C473" s="10" t="s">
        <v>15</v>
      </c>
      <c r="D473" s="10" t="s">
        <v>16</v>
      </c>
      <c r="E473" s="10" t="s">
        <v>17</v>
      </c>
      <c r="F473" s="10" t="s">
        <v>275</v>
      </c>
      <c r="G473" s="10" t="s">
        <v>276</v>
      </c>
      <c r="H473" s="10" t="s">
        <v>1742</v>
      </c>
      <c r="I473" s="10" t="s">
        <v>872</v>
      </c>
      <c r="J473" s="10" t="s">
        <v>9</v>
      </c>
      <c r="K473" s="12">
        <v>46086.0</v>
      </c>
      <c r="L473" s="11" t="s">
        <v>1737</v>
      </c>
      <c r="M473" s="7" t="str">
        <f>IFERROR(__xludf.DUMMYFUNCTION("TEXT(
  IF(RIGHT(A473,2)=""mo"",
    EDATE(DATEVALUE(K473), -VALUE(REGEXEXTRACT(A473,""\d+""))),
    DATEVALUE(K473) - IF(RIGHT(A473,1)=""h"", VALUE(REGEXEXTRACT(A473,""\d+""))/24,
         IF(RIGHT(A473,1)=""d"", VALUE(REGEXEXTRACT(A473,""\d+"")),
      "&amp;"   IF(RIGHT(A473,1)=""w"", VALUE(REGEXEXTRACT(A473,""\d+""))*7,
         0)))
  )
, ""YYYY-M-D"")"),"2026-2-26")</f>
        <v>2026-2-26</v>
      </c>
    </row>
    <row r="474">
      <c r="A474" s="10" t="s">
        <v>321</v>
      </c>
      <c r="B474" s="10" t="s">
        <v>267</v>
      </c>
      <c r="C474" s="10" t="s">
        <v>268</v>
      </c>
      <c r="D474" s="10" t="s">
        <v>37</v>
      </c>
      <c r="E474" s="10" t="s">
        <v>17</v>
      </c>
      <c r="F474" s="10" t="s">
        <v>269</v>
      </c>
      <c r="G474" s="10" t="s">
        <v>850</v>
      </c>
      <c r="H474" s="10" t="s">
        <v>271</v>
      </c>
      <c r="I474" s="10" t="s">
        <v>272</v>
      </c>
      <c r="J474" s="10" t="s">
        <v>9</v>
      </c>
      <c r="K474" s="12">
        <v>46086.0</v>
      </c>
      <c r="L474" s="11" t="s">
        <v>1737</v>
      </c>
      <c r="M474" s="7" t="str">
        <f>IFERROR(__xludf.DUMMYFUNCTION("TEXT(
  IF(RIGHT(A474,2)=""mo"",
    EDATE(DATEVALUE(K474), -VALUE(REGEXEXTRACT(A474,""\d+""))),
    DATEVALUE(K474) - IF(RIGHT(A474,1)=""h"", VALUE(REGEXEXTRACT(A474,""\d+""))/24,
         IF(RIGHT(A474,1)=""d"", VALUE(REGEXEXTRACT(A474,""\d+"")),
      "&amp;"   IF(RIGHT(A474,1)=""w"", VALUE(REGEXEXTRACT(A474,""\d+""))*7,
         0)))
  )
, ""YYYY-M-D"")"),"2026-2-12")</f>
        <v>2026-2-12</v>
      </c>
    </row>
    <row r="475">
      <c r="A475" s="10" t="s">
        <v>23</v>
      </c>
      <c r="B475" s="10" t="s">
        <v>1424</v>
      </c>
      <c r="C475" s="10" t="s">
        <v>1425</v>
      </c>
      <c r="D475" s="10" t="s">
        <v>37</v>
      </c>
      <c r="E475" s="10" t="s">
        <v>913</v>
      </c>
      <c r="F475" s="10" t="s">
        <v>1426</v>
      </c>
      <c r="G475" s="10" t="s">
        <v>1427</v>
      </c>
      <c r="H475" s="10" t="s">
        <v>1428</v>
      </c>
      <c r="I475" s="10" t="s">
        <v>21</v>
      </c>
      <c r="J475" s="10" t="s">
        <v>9</v>
      </c>
      <c r="K475" s="12">
        <v>46086.0</v>
      </c>
      <c r="L475" s="11" t="s">
        <v>1737</v>
      </c>
      <c r="M475" s="7" t="str">
        <f>IFERROR(__xludf.DUMMYFUNCTION("TEXT(
  IF(RIGHT(A475,2)=""mo"",
    EDATE(DATEVALUE(K475), -VALUE(REGEXEXTRACT(A475,""\d+""))),
    DATEVALUE(K475) - IF(RIGHT(A475,1)=""h"", VALUE(REGEXEXTRACT(A475,""\d+""))/24,
         IF(RIGHT(A475,1)=""d"", VALUE(REGEXEXTRACT(A475,""\d+"")),
      "&amp;"   IF(RIGHT(A475,1)=""w"", VALUE(REGEXEXTRACT(A475,""\d+""))*7,
         0)))
  )
, ""YYYY-M-D"")"),"2026-3-4")</f>
        <v>2026-3-4</v>
      </c>
    </row>
    <row r="476">
      <c r="A476" s="10" t="s">
        <v>581</v>
      </c>
      <c r="B476" s="10" t="s">
        <v>1743</v>
      </c>
      <c r="C476" s="10" t="s">
        <v>15</v>
      </c>
      <c r="D476" s="10" t="s">
        <v>44</v>
      </c>
      <c r="E476" s="10" t="s">
        <v>17</v>
      </c>
      <c r="F476" s="10" t="s">
        <v>357</v>
      </c>
      <c r="G476" s="10" t="s">
        <v>358</v>
      </c>
      <c r="H476" s="10" t="s">
        <v>1744</v>
      </c>
      <c r="I476" s="10" t="s">
        <v>21</v>
      </c>
      <c r="J476" s="10" t="s">
        <v>9</v>
      </c>
      <c r="K476" s="12">
        <v>46086.0</v>
      </c>
      <c r="L476" s="11" t="s">
        <v>1737</v>
      </c>
      <c r="M476" s="7" t="str">
        <f>IFERROR(__xludf.DUMMYFUNCTION("TEXT(
  IF(RIGHT(A476,2)=""mo"",
    EDATE(DATEVALUE(K476), -VALUE(REGEXEXTRACT(A476,""\d+""))),
    DATEVALUE(K476) - IF(RIGHT(A476,1)=""h"", VALUE(REGEXEXTRACT(A476,""\d+""))/24,
         IF(RIGHT(A476,1)=""d"", VALUE(REGEXEXTRACT(A476,""\d+"")),
      "&amp;"   IF(RIGHT(A476,1)=""w"", VALUE(REGEXEXTRACT(A476,""\d+""))*7,
         0)))
  )
, ""YYYY-M-D"")"),"2026-1-5")</f>
        <v>2026-1-5</v>
      </c>
    </row>
    <row r="477">
      <c r="A477" s="10" t="s">
        <v>173</v>
      </c>
      <c r="B477" s="10" t="s">
        <v>1466</v>
      </c>
      <c r="C477" s="10" t="s">
        <v>15</v>
      </c>
      <c r="D477" s="10" t="s">
        <v>44</v>
      </c>
      <c r="E477" s="10" t="s">
        <v>17</v>
      </c>
      <c r="F477" s="10" t="s">
        <v>125</v>
      </c>
      <c r="G477" s="10" t="s">
        <v>126</v>
      </c>
      <c r="H477" s="10" t="s">
        <v>1467</v>
      </c>
      <c r="I477" s="10" t="s">
        <v>1468</v>
      </c>
      <c r="J477" s="10" t="s">
        <v>9</v>
      </c>
      <c r="K477" s="12">
        <v>46086.0</v>
      </c>
      <c r="L477" s="11" t="s">
        <v>1737</v>
      </c>
      <c r="M477" s="7" t="str">
        <f>IFERROR(__xludf.DUMMYFUNCTION("TEXT(
  IF(RIGHT(A477,2)=""mo"",
    EDATE(DATEVALUE(K477), -VALUE(REGEXEXTRACT(A477,""\d+""))),
    DATEVALUE(K477) - IF(RIGHT(A477,1)=""h"", VALUE(REGEXEXTRACT(A477,""\d+""))/24,
         IF(RIGHT(A477,1)=""d"", VALUE(REGEXEXTRACT(A477,""\d+"")),
      "&amp;"   IF(RIGHT(A477,1)=""w"", VALUE(REGEXEXTRACT(A477,""\d+""))*7,
         0)))
  )
, ""YYYY-M-D"")"),"2026-2-26")</f>
        <v>2026-2-26</v>
      </c>
    </row>
    <row r="478">
      <c r="A478" s="10" t="s">
        <v>321</v>
      </c>
      <c r="B478" s="10" t="s">
        <v>1438</v>
      </c>
      <c r="C478" s="10" t="s">
        <v>15</v>
      </c>
      <c r="D478" s="10" t="s">
        <v>16</v>
      </c>
      <c r="E478" s="10" t="s">
        <v>17</v>
      </c>
      <c r="F478" s="10" t="s">
        <v>1482</v>
      </c>
      <c r="G478" s="10" t="s">
        <v>1483</v>
      </c>
      <c r="H478" s="10" t="s">
        <v>1484</v>
      </c>
      <c r="I478" s="10" t="s">
        <v>1485</v>
      </c>
      <c r="J478" s="10" t="s">
        <v>9</v>
      </c>
      <c r="K478" s="12">
        <v>46086.0</v>
      </c>
      <c r="L478" s="11" t="s">
        <v>1737</v>
      </c>
      <c r="M478" s="7" t="str">
        <f>IFERROR(__xludf.DUMMYFUNCTION("TEXT(
  IF(RIGHT(A478,2)=""mo"",
    EDATE(DATEVALUE(K478), -VALUE(REGEXEXTRACT(A478,""\d+""))),
    DATEVALUE(K478) - IF(RIGHT(A478,1)=""h"", VALUE(REGEXEXTRACT(A478,""\d+""))/24,
         IF(RIGHT(A478,1)=""d"", VALUE(REGEXEXTRACT(A478,""\d+"")),
      "&amp;"   IF(RIGHT(A478,1)=""w"", VALUE(REGEXEXTRACT(A478,""\d+""))*7,
         0)))
  )
, ""YYYY-M-D"")"),"2026-2-12")</f>
        <v>2026-2-12</v>
      </c>
    </row>
    <row r="479">
      <c r="A479" s="10" t="s">
        <v>28</v>
      </c>
      <c r="B479" s="10" t="s">
        <v>1438</v>
      </c>
      <c r="C479" s="10" t="s">
        <v>268</v>
      </c>
      <c r="D479" s="10" t="s">
        <v>37</v>
      </c>
      <c r="E479" s="10" t="s">
        <v>17</v>
      </c>
      <c r="F479" s="10" t="s">
        <v>1439</v>
      </c>
      <c r="G479" s="10" t="s">
        <v>1440</v>
      </c>
      <c r="H479" s="10" t="s">
        <v>1441</v>
      </c>
      <c r="I479" s="10" t="s">
        <v>21</v>
      </c>
      <c r="J479" s="10" t="s">
        <v>9</v>
      </c>
      <c r="K479" s="12">
        <v>46086.0</v>
      </c>
      <c r="L479" s="11" t="s">
        <v>1737</v>
      </c>
      <c r="M479" s="7" t="str">
        <f>IFERROR(__xludf.DUMMYFUNCTION("TEXT(
  IF(RIGHT(A479,2)=""mo"",
    EDATE(DATEVALUE(K479), -VALUE(REGEXEXTRACT(A479,""\d+""))),
    DATEVALUE(K479) - IF(RIGHT(A479,1)=""h"", VALUE(REGEXEXTRACT(A479,""\d+""))/24,
         IF(RIGHT(A479,1)=""d"", VALUE(REGEXEXTRACT(A479,""\d+"")),
      "&amp;"   IF(RIGHT(A479,1)=""w"", VALUE(REGEXEXTRACT(A479,""\d+""))*7,
         0)))
  )
, ""YYYY-M-D"")"),"2026-3-3")</f>
        <v>2026-3-3</v>
      </c>
    </row>
    <row r="480">
      <c r="A480" s="10" t="s">
        <v>28</v>
      </c>
      <c r="B480" s="10" t="s">
        <v>1438</v>
      </c>
      <c r="C480" s="10" t="s">
        <v>268</v>
      </c>
      <c r="D480" s="10" t="s">
        <v>37</v>
      </c>
      <c r="E480" s="10" t="s">
        <v>17</v>
      </c>
      <c r="F480" s="10" t="s">
        <v>1442</v>
      </c>
      <c r="G480" s="10" t="s">
        <v>1443</v>
      </c>
      <c r="H480" s="10" t="s">
        <v>1444</v>
      </c>
      <c r="I480" s="10" t="s">
        <v>21</v>
      </c>
      <c r="J480" s="10" t="s">
        <v>9</v>
      </c>
      <c r="K480" s="12">
        <v>46086.0</v>
      </c>
      <c r="L480" s="11" t="s">
        <v>1737</v>
      </c>
      <c r="M480" s="7" t="str">
        <f>IFERROR(__xludf.DUMMYFUNCTION("TEXT(
  IF(RIGHT(A480,2)=""mo"",
    EDATE(DATEVALUE(K480), -VALUE(REGEXEXTRACT(A480,""\d+""))),
    DATEVALUE(K480) - IF(RIGHT(A480,1)=""h"", VALUE(REGEXEXTRACT(A480,""\d+""))/24,
         IF(RIGHT(A480,1)=""d"", VALUE(REGEXEXTRACT(A480,""\d+"")),
      "&amp;"   IF(RIGHT(A480,1)=""w"", VALUE(REGEXEXTRACT(A480,""\d+""))*7,
         0)))
  )
, ""YYYY-M-D"")"),"2026-3-3")</f>
        <v>2026-3-3</v>
      </c>
    </row>
    <row r="481">
      <c r="A481" s="10" t="s">
        <v>731</v>
      </c>
      <c r="B481" s="10" t="s">
        <v>1745</v>
      </c>
      <c r="C481" s="10" t="s">
        <v>15</v>
      </c>
      <c r="D481" s="10" t="s">
        <v>44</v>
      </c>
      <c r="E481" s="10" t="s">
        <v>17</v>
      </c>
      <c r="F481" s="10" t="s">
        <v>1746</v>
      </c>
      <c r="G481" s="10" t="s">
        <v>1747</v>
      </c>
      <c r="H481" s="10" t="s">
        <v>1748</v>
      </c>
      <c r="I481" s="10" t="s">
        <v>1749</v>
      </c>
      <c r="J481" s="10" t="s">
        <v>9</v>
      </c>
      <c r="K481" s="12">
        <v>46086.0</v>
      </c>
      <c r="L481" s="11" t="s">
        <v>1737</v>
      </c>
      <c r="M481" s="7" t="str">
        <f>IFERROR(__xludf.DUMMYFUNCTION("TEXT(
  IF(RIGHT(A481,2)=""mo"",
    EDATE(DATEVALUE(K481), -VALUE(REGEXEXTRACT(A481,""\d+""))),
    DATEVALUE(K481) - IF(RIGHT(A481,1)=""h"", VALUE(REGEXEXTRACT(A481,""\d+""))/24,
         IF(RIGHT(A481,1)=""d"", VALUE(REGEXEXTRACT(A481,""\d+"")),
      "&amp;"   IF(RIGHT(A481,1)=""w"", VALUE(REGEXEXTRACT(A481,""\d+""))*7,
         0)))
  )
, ""YYYY-M-D"")"),"2025-10-5")</f>
        <v>2025-10-5</v>
      </c>
    </row>
    <row r="482">
      <c r="A482" s="10" t="s">
        <v>23</v>
      </c>
      <c r="B482" s="10" t="s">
        <v>1750</v>
      </c>
      <c r="C482" s="10" t="s">
        <v>268</v>
      </c>
      <c r="D482" s="10" t="s">
        <v>37</v>
      </c>
      <c r="E482" s="10" t="s">
        <v>17</v>
      </c>
      <c r="F482" s="10" t="s">
        <v>493</v>
      </c>
      <c r="G482" s="10" t="s">
        <v>1447</v>
      </c>
      <c r="H482" s="10" t="s">
        <v>1751</v>
      </c>
      <c r="I482" s="10" t="s">
        <v>1752</v>
      </c>
      <c r="J482" s="10" t="s">
        <v>9</v>
      </c>
      <c r="K482" s="12">
        <v>46086.0</v>
      </c>
      <c r="L482" s="11" t="s">
        <v>1737</v>
      </c>
      <c r="M482" s="7" t="str">
        <f>IFERROR(__xludf.DUMMYFUNCTION("TEXT(
  IF(RIGHT(A482,2)=""mo"",
    EDATE(DATEVALUE(K482), -VALUE(REGEXEXTRACT(A482,""\d+""))),
    DATEVALUE(K482) - IF(RIGHT(A482,1)=""h"", VALUE(REGEXEXTRACT(A482,""\d+""))/24,
         IF(RIGHT(A482,1)=""d"", VALUE(REGEXEXTRACT(A482,""\d+"")),
      "&amp;"   IF(RIGHT(A482,1)=""w"", VALUE(REGEXEXTRACT(A482,""\d+""))*7,
         0)))
  )
, ""YYYY-M-D"")"),"2026-3-4")</f>
        <v>2026-3-4</v>
      </c>
    </row>
    <row r="483">
      <c r="A483" s="10" t="s">
        <v>581</v>
      </c>
      <c r="B483" s="10" t="s">
        <v>1020</v>
      </c>
      <c r="C483" s="10" t="s">
        <v>1753</v>
      </c>
      <c r="D483" s="10" t="s">
        <v>16</v>
      </c>
      <c r="E483" s="10" t="s">
        <v>17</v>
      </c>
      <c r="F483" s="10" t="s">
        <v>493</v>
      </c>
      <c r="G483" s="10" t="s">
        <v>1754</v>
      </c>
      <c r="H483" s="10" t="s">
        <v>1755</v>
      </c>
      <c r="I483" s="10" t="s">
        <v>21</v>
      </c>
      <c r="J483" s="10" t="s">
        <v>9</v>
      </c>
      <c r="K483" s="12">
        <v>46086.0</v>
      </c>
      <c r="L483" s="11" t="s">
        <v>1737</v>
      </c>
      <c r="M483" s="7" t="str">
        <f>IFERROR(__xludf.DUMMYFUNCTION("TEXT(
  IF(RIGHT(A483,2)=""mo"",
    EDATE(DATEVALUE(K483), -VALUE(REGEXEXTRACT(A483,""\d+""))),
    DATEVALUE(K483) - IF(RIGHT(A483,1)=""h"", VALUE(REGEXEXTRACT(A483,""\d+""))/24,
         IF(RIGHT(A483,1)=""d"", VALUE(REGEXEXTRACT(A483,""\d+"")),
      "&amp;"   IF(RIGHT(A483,1)=""w"", VALUE(REGEXEXTRACT(A483,""\d+""))*7,
         0)))
  )
, ""YYYY-M-D"")"),"2026-1-5")</f>
        <v>2026-1-5</v>
      </c>
    </row>
    <row r="484">
      <c r="A484" s="10" t="s">
        <v>379</v>
      </c>
      <c r="B484" s="10" t="s">
        <v>1509</v>
      </c>
      <c r="C484" s="10" t="s">
        <v>1510</v>
      </c>
      <c r="D484" s="10" t="s">
        <v>16</v>
      </c>
      <c r="E484" s="10" t="s">
        <v>17</v>
      </c>
      <c r="F484" s="10" t="s">
        <v>1511</v>
      </c>
      <c r="G484" s="10" t="s">
        <v>1512</v>
      </c>
      <c r="H484" s="10" t="s">
        <v>1513</v>
      </c>
      <c r="I484" s="10" t="s">
        <v>21</v>
      </c>
      <c r="J484" s="10" t="s">
        <v>9</v>
      </c>
      <c r="K484" s="12">
        <v>46086.0</v>
      </c>
      <c r="L484" s="11" t="s">
        <v>1737</v>
      </c>
      <c r="M484" s="7" t="str">
        <f>IFERROR(__xludf.DUMMYFUNCTION("TEXT(
  IF(RIGHT(A484,2)=""mo"",
    EDATE(DATEVALUE(K484), -VALUE(REGEXEXTRACT(A484,""\d+""))),
    DATEVALUE(K484) - IF(RIGHT(A484,1)=""h"", VALUE(REGEXEXTRACT(A484,""\d+""))/24,
         IF(RIGHT(A484,1)=""d"", VALUE(REGEXEXTRACT(A484,""\d+"")),
      "&amp;"   IF(RIGHT(A484,1)=""w"", VALUE(REGEXEXTRACT(A484,""\d+""))*7,
         0)))
  )
, ""YYYY-M-D"")"),"2026-2-5")</f>
        <v>2026-2-5</v>
      </c>
    </row>
    <row r="485">
      <c r="A485" s="10" t="s">
        <v>379</v>
      </c>
      <c r="B485" s="10" t="s">
        <v>1756</v>
      </c>
      <c r="C485" s="10" t="s">
        <v>15</v>
      </c>
      <c r="D485" s="10" t="s">
        <v>16</v>
      </c>
      <c r="E485" s="10" t="s">
        <v>17</v>
      </c>
      <c r="F485" s="10" t="s">
        <v>1757</v>
      </c>
      <c r="G485" s="10" t="s">
        <v>1758</v>
      </c>
      <c r="H485" s="10" t="s">
        <v>1759</v>
      </c>
      <c r="I485" s="10" t="s">
        <v>1760</v>
      </c>
      <c r="J485" s="10" t="s">
        <v>9</v>
      </c>
      <c r="K485" s="12">
        <v>46086.0</v>
      </c>
      <c r="L485" s="11" t="s">
        <v>1737</v>
      </c>
      <c r="M485" s="7" t="str">
        <f>IFERROR(__xludf.DUMMYFUNCTION("TEXT(
  IF(RIGHT(A485,2)=""mo"",
    EDATE(DATEVALUE(K485), -VALUE(REGEXEXTRACT(A485,""\d+""))),
    DATEVALUE(K485) - IF(RIGHT(A485,1)=""h"", VALUE(REGEXEXTRACT(A485,""\d+""))/24,
         IF(RIGHT(A485,1)=""d"", VALUE(REGEXEXTRACT(A485,""\d+"")),
      "&amp;"   IF(RIGHT(A485,1)=""w"", VALUE(REGEXEXTRACT(A485,""\d+""))*7,
         0)))
  )
, ""YYYY-M-D"")"),"2026-2-5")</f>
        <v>2026-2-5</v>
      </c>
    </row>
    <row r="486">
      <c r="A486" s="10" t="s">
        <v>674</v>
      </c>
      <c r="B486" s="10" t="s">
        <v>1761</v>
      </c>
      <c r="C486" s="10" t="s">
        <v>15</v>
      </c>
      <c r="D486" s="10" t="s">
        <v>16</v>
      </c>
      <c r="E486" s="10" t="s">
        <v>17</v>
      </c>
      <c r="F486" s="10" t="s">
        <v>1313</v>
      </c>
      <c r="G486" s="10" t="s">
        <v>1762</v>
      </c>
      <c r="H486" s="10" t="s">
        <v>1763</v>
      </c>
      <c r="I486" s="10" t="s">
        <v>1764</v>
      </c>
      <c r="J486" s="10" t="s">
        <v>9</v>
      </c>
      <c r="K486" s="12">
        <v>46086.0</v>
      </c>
      <c r="L486" s="11" t="s">
        <v>1737</v>
      </c>
      <c r="M486" s="7" t="str">
        <f>IFERROR(__xludf.DUMMYFUNCTION("TEXT(
  IF(RIGHT(A486,2)=""mo"",
    EDATE(DATEVALUE(K486), -VALUE(REGEXEXTRACT(A486,""\d+""))),
    DATEVALUE(K486) - IF(RIGHT(A486,1)=""h"", VALUE(REGEXEXTRACT(A486,""\d+""))/24,
         IF(RIGHT(A486,1)=""d"", VALUE(REGEXEXTRACT(A486,""\d+"")),
      "&amp;"   IF(RIGHT(A486,1)=""w"", VALUE(REGEXEXTRACT(A486,""\d+""))*7,
         0)))
  )
, ""YYYY-M-D"")"),"2025-12-5")</f>
        <v>2025-12-5</v>
      </c>
    </row>
    <row r="487">
      <c r="A487" s="10" t="s">
        <v>674</v>
      </c>
      <c r="B487" s="10" t="s">
        <v>1765</v>
      </c>
      <c r="C487" s="10" t="s">
        <v>268</v>
      </c>
      <c r="D487" s="10" t="s">
        <v>37</v>
      </c>
      <c r="E487" s="10" t="s">
        <v>17</v>
      </c>
      <c r="F487" s="10" t="s">
        <v>163</v>
      </c>
      <c r="G487" s="10" t="s">
        <v>164</v>
      </c>
      <c r="H487" s="10" t="s">
        <v>1766</v>
      </c>
      <c r="I487" s="10" t="s">
        <v>1767</v>
      </c>
      <c r="J487" s="10" t="s">
        <v>9</v>
      </c>
      <c r="K487" s="12">
        <v>46086.0</v>
      </c>
      <c r="L487" s="11" t="s">
        <v>1737</v>
      </c>
      <c r="M487" s="7" t="str">
        <f>IFERROR(__xludf.DUMMYFUNCTION("TEXT(
  IF(RIGHT(A487,2)=""mo"",
    EDATE(DATEVALUE(K487), -VALUE(REGEXEXTRACT(A487,""\d+""))),
    DATEVALUE(K487) - IF(RIGHT(A487,1)=""h"", VALUE(REGEXEXTRACT(A487,""\d+""))/24,
         IF(RIGHT(A487,1)=""d"", VALUE(REGEXEXTRACT(A487,""\d+"")),
      "&amp;"   IF(RIGHT(A487,1)=""w"", VALUE(REGEXEXTRACT(A487,""\d+""))*7,
         0)))
  )
, ""YYYY-M-D"")"),"2025-12-5")</f>
        <v>2025-12-5</v>
      </c>
    </row>
    <row r="488">
      <c r="A488" s="10" t="s">
        <v>379</v>
      </c>
      <c r="B488" s="10" t="s">
        <v>1768</v>
      </c>
      <c r="C488" s="10" t="s">
        <v>268</v>
      </c>
      <c r="D488" s="10" t="s">
        <v>37</v>
      </c>
      <c r="E488" s="10" t="s">
        <v>17</v>
      </c>
      <c r="F488" s="10" t="s">
        <v>1769</v>
      </c>
      <c r="G488" s="10" t="s">
        <v>1770</v>
      </c>
      <c r="H488" s="10" t="s">
        <v>1771</v>
      </c>
      <c r="I488" s="10" t="s">
        <v>1772</v>
      </c>
      <c r="J488" s="10" t="s">
        <v>9</v>
      </c>
      <c r="K488" s="12">
        <v>46086.0</v>
      </c>
      <c r="L488" s="11" t="s">
        <v>1737</v>
      </c>
      <c r="M488" s="7" t="str">
        <f>IFERROR(__xludf.DUMMYFUNCTION("TEXT(
  IF(RIGHT(A488,2)=""mo"",
    EDATE(DATEVALUE(K488), -VALUE(REGEXEXTRACT(A488,""\d+""))),
    DATEVALUE(K488) - IF(RIGHT(A488,1)=""h"", VALUE(REGEXEXTRACT(A488,""\d+""))/24,
         IF(RIGHT(A488,1)=""d"", VALUE(REGEXEXTRACT(A488,""\d+"")),
      "&amp;"   IF(RIGHT(A488,1)=""w"", VALUE(REGEXEXTRACT(A488,""\d+""))*7,
         0)))
  )
, ""YYYY-M-D"")"),"2026-2-5")</f>
        <v>2026-2-5</v>
      </c>
    </row>
    <row r="489">
      <c r="A489" s="10" t="s">
        <v>28</v>
      </c>
      <c r="B489" s="10" t="s">
        <v>1544</v>
      </c>
      <c r="C489" s="10" t="s">
        <v>15</v>
      </c>
      <c r="D489" s="10" t="s">
        <v>16</v>
      </c>
      <c r="E489" s="10" t="s">
        <v>17</v>
      </c>
      <c r="F489" s="10" t="s">
        <v>1313</v>
      </c>
      <c r="G489" s="10" t="s">
        <v>1508</v>
      </c>
      <c r="H489" s="10" t="s">
        <v>1545</v>
      </c>
      <c r="I489" s="10" t="s">
        <v>1546</v>
      </c>
      <c r="J489" s="10" t="s">
        <v>9</v>
      </c>
      <c r="K489" s="12">
        <v>46086.0</v>
      </c>
      <c r="L489" s="11" t="s">
        <v>1737</v>
      </c>
      <c r="M489" s="7" t="str">
        <f>IFERROR(__xludf.DUMMYFUNCTION("TEXT(
  IF(RIGHT(A489,2)=""mo"",
    EDATE(DATEVALUE(K489), -VALUE(REGEXEXTRACT(A489,""\d+""))),
    DATEVALUE(K489) - IF(RIGHT(A489,1)=""h"", VALUE(REGEXEXTRACT(A489,""\d+""))/24,
         IF(RIGHT(A489,1)=""d"", VALUE(REGEXEXTRACT(A489,""\d+"")),
      "&amp;"   IF(RIGHT(A489,1)=""w"", VALUE(REGEXEXTRACT(A489,""\d+""))*7,
         0)))
  )
, ""YYYY-M-D"")"),"2026-3-3")</f>
        <v>2026-3-3</v>
      </c>
    </row>
    <row r="490">
      <c r="A490" s="10" t="s">
        <v>321</v>
      </c>
      <c r="B490" s="10" t="s">
        <v>1773</v>
      </c>
      <c r="C490" s="10" t="s">
        <v>268</v>
      </c>
      <c r="D490" s="10" t="s">
        <v>37</v>
      </c>
      <c r="E490" s="10" t="s">
        <v>67</v>
      </c>
      <c r="F490" s="10" t="s">
        <v>1774</v>
      </c>
      <c r="G490" s="10" t="s">
        <v>1775</v>
      </c>
      <c r="H490" s="10" t="s">
        <v>1776</v>
      </c>
      <c r="I490" s="10" t="s">
        <v>1777</v>
      </c>
      <c r="J490" s="10" t="s">
        <v>9</v>
      </c>
      <c r="K490" s="12">
        <v>46086.0</v>
      </c>
      <c r="L490" s="11" t="s">
        <v>1737</v>
      </c>
      <c r="M490" s="7" t="str">
        <f>IFERROR(__xludf.DUMMYFUNCTION("TEXT(
  IF(RIGHT(A490,2)=""mo"",
    EDATE(DATEVALUE(K490), -VALUE(REGEXEXTRACT(A490,""\d+""))),
    DATEVALUE(K490) - IF(RIGHT(A490,1)=""h"", VALUE(REGEXEXTRACT(A490,""\d+""))/24,
         IF(RIGHT(A490,1)=""d"", VALUE(REGEXEXTRACT(A490,""\d+"")),
      "&amp;"   IF(RIGHT(A490,1)=""w"", VALUE(REGEXEXTRACT(A490,""\d+""))*7,
         0)))
  )
, ""YYYY-M-D"")"),"2026-2-12")</f>
        <v>2026-2-12</v>
      </c>
    </row>
    <row r="491">
      <c r="A491" s="10" t="s">
        <v>379</v>
      </c>
      <c r="B491" s="10" t="s">
        <v>1756</v>
      </c>
      <c r="C491" s="10" t="s">
        <v>15</v>
      </c>
      <c r="D491" s="10" t="s">
        <v>37</v>
      </c>
      <c r="E491" s="10" t="s">
        <v>17</v>
      </c>
      <c r="F491" s="10" t="s">
        <v>1757</v>
      </c>
      <c r="G491" s="10" t="s">
        <v>1778</v>
      </c>
      <c r="H491" s="10" t="s">
        <v>1779</v>
      </c>
      <c r="I491" s="10" t="s">
        <v>1780</v>
      </c>
      <c r="J491" s="10" t="s">
        <v>9</v>
      </c>
      <c r="K491" s="12">
        <v>46086.0</v>
      </c>
      <c r="L491" s="11" t="s">
        <v>1737</v>
      </c>
      <c r="M491" s="7" t="str">
        <f>IFERROR(__xludf.DUMMYFUNCTION("TEXT(
  IF(RIGHT(A491,2)=""mo"",
    EDATE(DATEVALUE(K491), -VALUE(REGEXEXTRACT(A491,""\d+""))),
    DATEVALUE(K491) - IF(RIGHT(A491,1)=""h"", VALUE(REGEXEXTRACT(A491,""\d+""))/24,
         IF(RIGHT(A491,1)=""d"", VALUE(REGEXEXTRACT(A491,""\d+"")),
      "&amp;"   IF(RIGHT(A491,1)=""w"", VALUE(REGEXEXTRACT(A491,""\d+""))*7,
         0)))
  )
, ""YYYY-M-D"")"),"2026-2-5")</f>
        <v>2026-2-5</v>
      </c>
    </row>
    <row r="492">
      <c r="A492" s="10" t="s">
        <v>379</v>
      </c>
      <c r="B492" s="10" t="s">
        <v>1781</v>
      </c>
      <c r="C492" s="10" t="s">
        <v>15</v>
      </c>
      <c r="D492" s="10" t="s">
        <v>16</v>
      </c>
      <c r="E492" s="10" t="s">
        <v>17</v>
      </c>
      <c r="F492" s="10" t="s">
        <v>1271</v>
      </c>
      <c r="G492" s="10" t="s">
        <v>1782</v>
      </c>
      <c r="H492" s="10" t="s">
        <v>1783</v>
      </c>
      <c r="I492" s="10"/>
      <c r="J492" s="10" t="s">
        <v>9</v>
      </c>
      <c r="K492" s="12">
        <v>46086.0</v>
      </c>
      <c r="L492" s="11" t="s">
        <v>1737</v>
      </c>
      <c r="M492" s="7" t="str">
        <f>IFERROR(__xludf.DUMMYFUNCTION("TEXT(
  IF(RIGHT(A492,2)=""mo"",
    EDATE(DATEVALUE(K492), -VALUE(REGEXEXTRACT(A492,""\d+""))),
    DATEVALUE(K492) - IF(RIGHT(A492,1)=""h"", VALUE(REGEXEXTRACT(A492,""\d+""))/24,
         IF(RIGHT(A492,1)=""d"", VALUE(REGEXEXTRACT(A492,""\d+"")),
      "&amp;"   IF(RIGHT(A492,1)=""w"", VALUE(REGEXEXTRACT(A492,""\d+""))*7,
         0)))
  )
, ""YYYY-M-D"")"),"2026-2-5")</f>
        <v>2026-2-5</v>
      </c>
    </row>
    <row r="493">
      <c r="A493" s="10" t="s">
        <v>144</v>
      </c>
      <c r="B493" s="10" t="s">
        <v>1784</v>
      </c>
      <c r="C493" s="10" t="s">
        <v>15</v>
      </c>
      <c r="D493" s="10" t="s">
        <v>16</v>
      </c>
      <c r="E493" s="10" t="s">
        <v>17</v>
      </c>
      <c r="F493" s="10" t="s">
        <v>444</v>
      </c>
      <c r="G493" s="10" t="s">
        <v>445</v>
      </c>
      <c r="H493" s="10" t="s">
        <v>1785</v>
      </c>
      <c r="I493" s="10" t="s">
        <v>1786</v>
      </c>
      <c r="J493" s="10" t="s">
        <v>9</v>
      </c>
      <c r="K493" s="12">
        <v>46086.0</v>
      </c>
      <c r="L493" s="11" t="s">
        <v>1737</v>
      </c>
      <c r="M493" s="7" t="str">
        <f>IFERROR(__xludf.DUMMYFUNCTION("TEXT(
  IF(RIGHT(A493,2)=""mo"",
    EDATE(DATEVALUE(K493), -VALUE(REGEXEXTRACT(A493,""\d+""))),
    DATEVALUE(K493) - IF(RIGHT(A493,1)=""h"", VALUE(REGEXEXTRACT(A493,""\d+""))/24,
         IF(RIGHT(A493,1)=""d"", VALUE(REGEXEXTRACT(A493,""\d+"")),
      "&amp;"   IF(RIGHT(A493,1)=""w"", VALUE(REGEXEXTRACT(A493,""\d+""))*7,
         0)))
  )
, ""YYYY-M-D"")"),"2026-2-27")</f>
        <v>2026-2-27</v>
      </c>
    </row>
    <row r="494">
      <c r="A494" s="10" t="s">
        <v>173</v>
      </c>
      <c r="B494" s="10" t="s">
        <v>1787</v>
      </c>
      <c r="C494" s="10" t="s">
        <v>15</v>
      </c>
      <c r="D494" s="10" t="s">
        <v>44</v>
      </c>
      <c r="E494" s="10" t="s">
        <v>17</v>
      </c>
      <c r="F494" s="10" t="s">
        <v>1788</v>
      </c>
      <c r="G494" s="10" t="s">
        <v>1789</v>
      </c>
      <c r="H494" s="10" t="s">
        <v>1790</v>
      </c>
      <c r="I494" s="10" t="s">
        <v>1791</v>
      </c>
      <c r="J494" s="10" t="s">
        <v>9</v>
      </c>
      <c r="K494" s="12">
        <v>46086.0</v>
      </c>
      <c r="L494" s="11" t="s">
        <v>1737</v>
      </c>
      <c r="M494" s="7" t="str">
        <f>IFERROR(__xludf.DUMMYFUNCTION("TEXT(
  IF(RIGHT(A494,2)=""mo"",
    EDATE(DATEVALUE(K494), -VALUE(REGEXEXTRACT(A494,""\d+""))),
    DATEVALUE(K494) - IF(RIGHT(A494,1)=""h"", VALUE(REGEXEXTRACT(A494,""\d+""))/24,
         IF(RIGHT(A494,1)=""d"", VALUE(REGEXEXTRACT(A494,""\d+"")),
      "&amp;"   IF(RIGHT(A494,1)=""w"", VALUE(REGEXEXTRACT(A494,""\d+""))*7,
         0)))
  )
, ""YYYY-M-D"")"),"2026-2-26")</f>
        <v>2026-2-26</v>
      </c>
    </row>
    <row r="495">
      <c r="A495" s="10" t="s">
        <v>321</v>
      </c>
      <c r="B495" s="10" t="s">
        <v>1792</v>
      </c>
      <c r="C495" s="10" t="s">
        <v>1793</v>
      </c>
      <c r="D495" s="10" t="s">
        <v>37</v>
      </c>
      <c r="E495" s="10" t="s">
        <v>67</v>
      </c>
      <c r="F495" s="10" t="s">
        <v>1794</v>
      </c>
      <c r="G495" s="10" t="s">
        <v>1795</v>
      </c>
      <c r="H495" s="10" t="s">
        <v>1796</v>
      </c>
      <c r="I495" s="10"/>
      <c r="J495" s="10" t="s">
        <v>9</v>
      </c>
      <c r="K495" s="12">
        <v>46086.0</v>
      </c>
      <c r="L495" s="11" t="s">
        <v>1737</v>
      </c>
      <c r="M495" s="7" t="str">
        <f>IFERROR(__xludf.DUMMYFUNCTION("TEXT(
  IF(RIGHT(A495,2)=""mo"",
    EDATE(DATEVALUE(K495), -VALUE(REGEXEXTRACT(A495,""\d+""))),
    DATEVALUE(K495) - IF(RIGHT(A495,1)=""h"", VALUE(REGEXEXTRACT(A495,""\d+""))/24,
         IF(RIGHT(A495,1)=""d"", VALUE(REGEXEXTRACT(A495,""\d+"")),
      "&amp;"   IF(RIGHT(A495,1)=""w"", VALUE(REGEXEXTRACT(A495,""\d+""))*7,
         0)))
  )
, ""YYYY-M-D"")"),"2026-2-12")</f>
        <v>2026-2-12</v>
      </c>
    </row>
    <row r="496">
      <c r="A496" s="10" t="s">
        <v>581</v>
      </c>
      <c r="B496" s="10" t="s">
        <v>1797</v>
      </c>
      <c r="C496" s="10" t="s">
        <v>15</v>
      </c>
      <c r="D496" s="10" t="s">
        <v>44</v>
      </c>
      <c r="E496" s="10" t="s">
        <v>1576</v>
      </c>
      <c r="F496" s="10" t="s">
        <v>1798</v>
      </c>
      <c r="G496" s="10" t="s">
        <v>1799</v>
      </c>
      <c r="H496" s="10" t="s">
        <v>1800</v>
      </c>
      <c r="I496" s="10"/>
      <c r="J496" s="10" t="s">
        <v>9</v>
      </c>
      <c r="K496" s="12">
        <v>46086.0</v>
      </c>
      <c r="L496" s="11" t="s">
        <v>1737</v>
      </c>
      <c r="M496" s="7" t="str">
        <f>IFERROR(__xludf.DUMMYFUNCTION("TEXT(
  IF(RIGHT(A496,2)=""mo"",
    EDATE(DATEVALUE(K496), -VALUE(REGEXEXTRACT(A496,""\d+""))),
    DATEVALUE(K496) - IF(RIGHT(A496,1)=""h"", VALUE(REGEXEXTRACT(A496,""\d+""))/24,
         IF(RIGHT(A496,1)=""d"", VALUE(REGEXEXTRACT(A496,""\d+"")),
      "&amp;"   IF(RIGHT(A496,1)=""w"", VALUE(REGEXEXTRACT(A496,""\d+""))*7,
         0)))
  )
, ""YYYY-M-D"")"),"2026-1-5")</f>
        <v>2026-1-5</v>
      </c>
    </row>
    <row r="497">
      <c r="A497" s="10" t="s">
        <v>379</v>
      </c>
      <c r="B497" s="10" t="s">
        <v>1801</v>
      </c>
      <c r="C497" s="10" t="s">
        <v>518</v>
      </c>
      <c r="D497" s="10" t="s">
        <v>37</v>
      </c>
      <c r="E497" s="10" t="s">
        <v>17</v>
      </c>
      <c r="F497" s="10" t="s">
        <v>163</v>
      </c>
      <c r="G497" s="10" t="s">
        <v>1802</v>
      </c>
      <c r="H497" s="10" t="s">
        <v>1803</v>
      </c>
      <c r="I497" s="10" t="s">
        <v>1804</v>
      </c>
      <c r="J497" s="10" t="s">
        <v>9</v>
      </c>
      <c r="K497" s="12">
        <v>46086.0</v>
      </c>
      <c r="L497" s="11" t="s">
        <v>1805</v>
      </c>
      <c r="M497" s="7" t="str">
        <f>IFERROR(__xludf.DUMMYFUNCTION("TEXT(
  IF(RIGHT(A497,2)=""mo"",
    EDATE(DATEVALUE(K497), -VALUE(REGEXEXTRACT(A497,""\d+""))),
    DATEVALUE(K497) - IF(RIGHT(A497,1)=""h"", VALUE(REGEXEXTRACT(A497,""\d+""))/24,
         IF(RIGHT(A497,1)=""d"", VALUE(REGEXEXTRACT(A497,""\d+"")),
      "&amp;"   IF(RIGHT(A497,1)=""w"", VALUE(REGEXEXTRACT(A497,""\d+""))*7,
         0)))
  )
, ""YYYY-M-D"")"),"2026-2-5")</f>
        <v>2026-2-5</v>
      </c>
    </row>
    <row r="498">
      <c r="A498" s="10" t="s">
        <v>239</v>
      </c>
      <c r="B498" s="10" t="s">
        <v>245</v>
      </c>
      <c r="C498" s="10" t="s">
        <v>246</v>
      </c>
      <c r="D498" s="10" t="s">
        <v>44</v>
      </c>
      <c r="E498" s="10" t="s">
        <v>17</v>
      </c>
      <c r="F498" s="10" t="s">
        <v>247</v>
      </c>
      <c r="G498" s="10" t="s">
        <v>955</v>
      </c>
      <c r="H498" s="10" t="s">
        <v>249</v>
      </c>
      <c r="I498" s="10" t="s">
        <v>250</v>
      </c>
      <c r="J498" s="10" t="s">
        <v>9</v>
      </c>
      <c r="K498" s="12">
        <v>46086.0</v>
      </c>
      <c r="L498" s="11" t="s">
        <v>1805</v>
      </c>
      <c r="M498" s="7" t="str">
        <f>IFERROR(__xludf.DUMMYFUNCTION("TEXT(
  IF(RIGHT(A498,2)=""mo"",
    EDATE(DATEVALUE(K498), -VALUE(REGEXEXTRACT(A498,""\d+""))),
    DATEVALUE(K498) - IF(RIGHT(A498,1)=""h"", VALUE(REGEXEXTRACT(A498,""\d+""))/24,
         IF(RIGHT(A498,1)=""d"", VALUE(REGEXEXTRACT(A498,""\d+"")),
      "&amp;"   IF(RIGHT(A498,1)=""w"", VALUE(REGEXEXTRACT(A498,""\d+""))*7,
         0)))
  )
, ""YYYY-M-D"")"),"2026-2-19")</f>
        <v>2026-2-19</v>
      </c>
    </row>
    <row r="499">
      <c r="A499" s="10" t="s">
        <v>379</v>
      </c>
      <c r="B499" s="10" t="s">
        <v>536</v>
      </c>
      <c r="C499" s="10" t="s">
        <v>15</v>
      </c>
      <c r="D499" s="10" t="s">
        <v>16</v>
      </c>
      <c r="E499" s="10" t="s">
        <v>17</v>
      </c>
      <c r="F499" s="10" t="s">
        <v>537</v>
      </c>
      <c r="G499" s="10" t="s">
        <v>874</v>
      </c>
      <c r="H499" s="10" t="s">
        <v>539</v>
      </c>
      <c r="I499" s="10" t="s">
        <v>540</v>
      </c>
      <c r="J499" s="10" t="s">
        <v>9</v>
      </c>
      <c r="K499" s="12">
        <v>46086.0</v>
      </c>
      <c r="L499" s="11" t="s">
        <v>1805</v>
      </c>
      <c r="M499" s="7" t="str">
        <f>IFERROR(__xludf.DUMMYFUNCTION("TEXT(
  IF(RIGHT(A499,2)=""mo"",
    EDATE(DATEVALUE(K499), -VALUE(REGEXEXTRACT(A499,""\d+""))),
    DATEVALUE(K499) - IF(RIGHT(A499,1)=""h"", VALUE(REGEXEXTRACT(A499,""\d+""))/24,
         IF(RIGHT(A499,1)=""d"", VALUE(REGEXEXTRACT(A499,""\d+"")),
      "&amp;"   IF(RIGHT(A499,1)=""w"", VALUE(REGEXEXTRACT(A499,""\d+""))*7,
         0)))
  )
, ""YYYY-M-D"")"),"2026-2-5")</f>
        <v>2026-2-5</v>
      </c>
    </row>
    <row r="500">
      <c r="A500" s="10" t="s">
        <v>714</v>
      </c>
      <c r="B500" s="10" t="s">
        <v>1806</v>
      </c>
      <c r="C500" s="10" t="s">
        <v>15</v>
      </c>
      <c r="D500" s="10" t="s">
        <v>16</v>
      </c>
      <c r="E500" s="10" t="s">
        <v>17</v>
      </c>
      <c r="F500" s="10" t="s">
        <v>130</v>
      </c>
      <c r="G500" s="10" t="s">
        <v>1807</v>
      </c>
      <c r="H500" s="10" t="s">
        <v>1808</v>
      </c>
      <c r="I500" s="10" t="s">
        <v>1809</v>
      </c>
      <c r="J500" s="10" t="s">
        <v>9</v>
      </c>
      <c r="K500" s="12">
        <v>46086.0</v>
      </c>
      <c r="L500" s="11" t="s">
        <v>1805</v>
      </c>
      <c r="M500" s="7" t="str">
        <f>IFERROR(__xludf.DUMMYFUNCTION("TEXT(
  IF(RIGHT(A500,2)=""mo"",
    EDATE(DATEVALUE(K500), -VALUE(REGEXEXTRACT(A500,""\d+""))),
    DATEVALUE(K500) - IF(RIGHT(A500,1)=""h"", VALUE(REGEXEXTRACT(A500,""\d+""))/24,
         IF(RIGHT(A500,1)=""d"", VALUE(REGEXEXTRACT(A500,""\d+"")),
      "&amp;"   IF(RIGHT(A500,1)=""w"", VALUE(REGEXEXTRACT(A500,""\d+""))*7,
         0)))
  )
, ""YYYY-M-D"")"),"2025-11-5")</f>
        <v>2025-11-5</v>
      </c>
    </row>
    <row r="501">
      <c r="A501" s="10" t="s">
        <v>581</v>
      </c>
      <c r="B501" s="10" t="s">
        <v>1810</v>
      </c>
      <c r="C501" s="10" t="s">
        <v>234</v>
      </c>
      <c r="D501" s="10" t="s">
        <v>16</v>
      </c>
      <c r="E501" s="10" t="s">
        <v>17</v>
      </c>
      <c r="F501" s="10" t="s">
        <v>235</v>
      </c>
      <c r="G501" s="10" t="s">
        <v>236</v>
      </c>
      <c r="H501" s="10" t="s">
        <v>1811</v>
      </c>
      <c r="I501" s="10" t="s">
        <v>1812</v>
      </c>
      <c r="J501" s="10" t="s">
        <v>9</v>
      </c>
      <c r="K501" s="12">
        <v>46086.0</v>
      </c>
      <c r="L501" s="11" t="s">
        <v>1805</v>
      </c>
      <c r="M501" s="7" t="str">
        <f>IFERROR(__xludf.DUMMYFUNCTION("TEXT(
  IF(RIGHT(A501,2)=""mo"",
    EDATE(DATEVALUE(K501), -VALUE(REGEXEXTRACT(A501,""\d+""))),
    DATEVALUE(K501) - IF(RIGHT(A501,1)=""h"", VALUE(REGEXEXTRACT(A501,""\d+""))/24,
         IF(RIGHT(A501,1)=""d"", VALUE(REGEXEXTRACT(A501,""\d+"")),
      "&amp;"   IF(RIGHT(A501,1)=""w"", VALUE(REGEXEXTRACT(A501,""\d+""))*7,
         0)))
  )
, ""YYYY-M-D"")"),"2026-1-5")</f>
        <v>2026-1-5</v>
      </c>
    </row>
    <row r="502">
      <c r="A502" s="10" t="s">
        <v>173</v>
      </c>
      <c r="B502" s="10" t="s">
        <v>826</v>
      </c>
      <c r="C502" s="10" t="s">
        <v>827</v>
      </c>
      <c r="D502" s="10" t="s">
        <v>37</v>
      </c>
      <c r="E502" s="10" t="s">
        <v>17</v>
      </c>
      <c r="F502" s="10" t="s">
        <v>38</v>
      </c>
      <c r="G502" s="10" t="s">
        <v>1813</v>
      </c>
      <c r="H502" s="10" t="s">
        <v>828</v>
      </c>
      <c r="I502" s="10" t="s">
        <v>829</v>
      </c>
      <c r="J502" s="10" t="s">
        <v>9</v>
      </c>
      <c r="K502" s="12">
        <v>46086.0</v>
      </c>
      <c r="L502" s="11" t="s">
        <v>1805</v>
      </c>
      <c r="M502" s="7" t="str">
        <f>IFERROR(__xludf.DUMMYFUNCTION("TEXT(
  IF(RIGHT(A502,2)=""mo"",
    EDATE(DATEVALUE(K502), -VALUE(REGEXEXTRACT(A502,""\d+""))),
    DATEVALUE(K502) - IF(RIGHT(A502,1)=""h"", VALUE(REGEXEXTRACT(A502,""\d+""))/24,
         IF(RIGHT(A502,1)=""d"", VALUE(REGEXEXTRACT(A502,""\d+"")),
      "&amp;"   IF(RIGHT(A502,1)=""w"", VALUE(REGEXEXTRACT(A502,""\d+""))*7,
         0)))
  )
, ""YYYY-M-D"")"),"2026-2-26")</f>
        <v>2026-2-26</v>
      </c>
    </row>
    <row r="503">
      <c r="A503" s="10" t="s">
        <v>1814</v>
      </c>
      <c r="B503" s="10" t="s">
        <v>1815</v>
      </c>
      <c r="C503" s="10" t="s">
        <v>15</v>
      </c>
      <c r="D503" s="10" t="s">
        <v>16</v>
      </c>
      <c r="E503" s="10" t="s">
        <v>17</v>
      </c>
      <c r="F503" s="10" t="s">
        <v>707</v>
      </c>
      <c r="G503" s="10" t="s">
        <v>1458</v>
      </c>
      <c r="H503" s="10" t="s">
        <v>1816</v>
      </c>
      <c r="I503" s="10" t="s">
        <v>1817</v>
      </c>
      <c r="J503" s="10" t="s">
        <v>9</v>
      </c>
      <c r="K503" s="12">
        <v>46086.0</v>
      </c>
      <c r="L503" s="11" t="s">
        <v>1805</v>
      </c>
      <c r="M503" s="7" t="str">
        <f>IFERROR(__xludf.DUMMYFUNCTION("TEXT(
  IF(RIGHT(A503,2)=""mo"",
    EDATE(DATEVALUE(K503), -VALUE(REGEXEXTRACT(A503,""\d+""))),
    DATEVALUE(K503) - IF(RIGHT(A503,1)=""h"", VALUE(REGEXEXTRACT(A503,""\d+""))/24,
         IF(RIGHT(A503,1)=""d"", VALUE(REGEXEXTRACT(A503,""\d+"")),
      "&amp;"   IF(RIGHT(A503,1)=""w"", VALUE(REGEXEXTRACT(A503,""\d+""))*7,
         0)))
  )
, ""YYYY-M-D"")"),"2025-9-5")</f>
        <v>2025-9-5</v>
      </c>
    </row>
    <row r="504">
      <c r="A504" s="10" t="s">
        <v>674</v>
      </c>
      <c r="B504" s="10" t="s">
        <v>1524</v>
      </c>
      <c r="C504" s="10" t="s">
        <v>15</v>
      </c>
      <c r="D504" s="10" t="s">
        <v>37</v>
      </c>
      <c r="E504" s="10" t="s">
        <v>17</v>
      </c>
      <c r="F504" s="10" t="s">
        <v>1313</v>
      </c>
      <c r="G504" s="10" t="s">
        <v>1525</v>
      </c>
      <c r="H504" s="10" t="s">
        <v>1526</v>
      </c>
      <c r="I504" s="10" t="s">
        <v>1527</v>
      </c>
      <c r="J504" s="10" t="s">
        <v>9</v>
      </c>
      <c r="K504" s="12">
        <v>46086.0</v>
      </c>
      <c r="L504" s="11" t="s">
        <v>1805</v>
      </c>
      <c r="M504" s="7" t="str">
        <f>IFERROR(__xludf.DUMMYFUNCTION("TEXT(
  IF(RIGHT(A504,2)=""mo"",
    EDATE(DATEVALUE(K504), -VALUE(REGEXEXTRACT(A504,""\d+""))),
    DATEVALUE(K504) - IF(RIGHT(A504,1)=""h"", VALUE(REGEXEXTRACT(A504,""\d+""))/24,
         IF(RIGHT(A504,1)=""d"", VALUE(REGEXEXTRACT(A504,""\d+"")),
      "&amp;"   IF(RIGHT(A504,1)=""w"", VALUE(REGEXEXTRACT(A504,""\d+""))*7,
         0)))
  )
, ""YYYY-M-D"")"),"2025-12-5")</f>
        <v>2025-12-5</v>
      </c>
    </row>
    <row r="505">
      <c r="A505" s="10" t="s">
        <v>379</v>
      </c>
      <c r="B505" s="10" t="s">
        <v>512</v>
      </c>
      <c r="C505" s="10" t="s">
        <v>15</v>
      </c>
      <c r="D505" s="10" t="s">
        <v>16</v>
      </c>
      <c r="E505" s="10" t="s">
        <v>17</v>
      </c>
      <c r="F505" s="10" t="s">
        <v>513</v>
      </c>
      <c r="G505" s="10" t="s">
        <v>816</v>
      </c>
      <c r="H505" s="10" t="s">
        <v>515</v>
      </c>
      <c r="I505" s="10" t="s">
        <v>516</v>
      </c>
      <c r="J505" s="10" t="s">
        <v>9</v>
      </c>
      <c r="K505" s="12">
        <v>46086.0</v>
      </c>
      <c r="L505" s="11" t="s">
        <v>1805</v>
      </c>
      <c r="M505" s="7" t="str">
        <f>IFERROR(__xludf.DUMMYFUNCTION("TEXT(
  IF(RIGHT(A505,2)=""mo"",
    EDATE(DATEVALUE(K505), -VALUE(REGEXEXTRACT(A505,""\d+""))),
    DATEVALUE(K505) - IF(RIGHT(A505,1)=""h"", VALUE(REGEXEXTRACT(A505,""\d+""))/24,
         IF(RIGHT(A505,1)=""d"", VALUE(REGEXEXTRACT(A505,""\d+"")),
      "&amp;"   IF(RIGHT(A505,1)=""w"", VALUE(REGEXEXTRACT(A505,""\d+""))*7,
         0)))
  )
, ""YYYY-M-D"")"),"2026-2-5")</f>
        <v>2026-2-5</v>
      </c>
    </row>
    <row r="506">
      <c r="A506" s="10" t="s">
        <v>379</v>
      </c>
      <c r="B506" s="10" t="s">
        <v>951</v>
      </c>
      <c r="C506" s="10" t="s">
        <v>952</v>
      </c>
      <c r="D506" s="10" t="s">
        <v>16</v>
      </c>
      <c r="E506" s="10" t="s">
        <v>17</v>
      </c>
      <c r="F506" s="10" t="s">
        <v>466</v>
      </c>
      <c r="G506" s="10" t="s">
        <v>953</v>
      </c>
      <c r="H506" s="10" t="s">
        <v>954</v>
      </c>
      <c r="I506" s="10" t="s">
        <v>160</v>
      </c>
      <c r="J506" s="10" t="s">
        <v>9</v>
      </c>
      <c r="K506" s="12">
        <v>46086.0</v>
      </c>
      <c r="L506" s="11" t="s">
        <v>1805</v>
      </c>
      <c r="M506" s="7" t="str">
        <f>IFERROR(__xludf.DUMMYFUNCTION("TEXT(
  IF(RIGHT(A506,2)=""mo"",
    EDATE(DATEVALUE(K506), -VALUE(REGEXEXTRACT(A506,""\d+""))),
    DATEVALUE(K506) - IF(RIGHT(A506,1)=""h"", VALUE(REGEXEXTRACT(A506,""\d+""))/24,
         IF(RIGHT(A506,1)=""d"", VALUE(REGEXEXTRACT(A506,""\d+"")),
      "&amp;"   IF(RIGHT(A506,1)=""w"", VALUE(REGEXEXTRACT(A506,""\d+""))*7,
         0)))
  )
, ""YYYY-M-D"")"),"2026-2-5")</f>
        <v>2026-2-5</v>
      </c>
    </row>
    <row r="507">
      <c r="A507" s="10" t="s">
        <v>674</v>
      </c>
      <c r="B507" s="10" t="s">
        <v>1818</v>
      </c>
      <c r="C507" s="10" t="s">
        <v>15</v>
      </c>
      <c r="D507" s="10" t="s">
        <v>16</v>
      </c>
      <c r="E507" s="10" t="s">
        <v>17</v>
      </c>
      <c r="F507" s="10" t="s">
        <v>362</v>
      </c>
      <c r="G507" s="10" t="s">
        <v>1819</v>
      </c>
      <c r="H507" s="10" t="s">
        <v>1820</v>
      </c>
      <c r="I507" s="10" t="s">
        <v>1821</v>
      </c>
      <c r="J507" s="10" t="s">
        <v>9</v>
      </c>
      <c r="K507" s="12">
        <v>46086.0</v>
      </c>
      <c r="L507" s="11" t="s">
        <v>1805</v>
      </c>
      <c r="M507" s="7" t="str">
        <f>IFERROR(__xludf.DUMMYFUNCTION("TEXT(
  IF(RIGHT(A507,2)=""mo"",
    EDATE(DATEVALUE(K507), -VALUE(REGEXEXTRACT(A507,""\d+""))),
    DATEVALUE(K507) - IF(RIGHT(A507,1)=""h"", VALUE(REGEXEXTRACT(A507,""\d+""))/24,
         IF(RIGHT(A507,1)=""d"", VALUE(REGEXEXTRACT(A507,""\d+"")),
      "&amp;"   IF(RIGHT(A507,1)=""w"", VALUE(REGEXEXTRACT(A507,""\d+""))*7,
         0)))
  )
, ""YYYY-M-D"")"),"2025-12-5")</f>
        <v>2025-12-5</v>
      </c>
    </row>
    <row r="508">
      <c r="A508" s="10" t="s">
        <v>173</v>
      </c>
      <c r="B508" s="10" t="s">
        <v>54</v>
      </c>
      <c r="C508" s="10" t="s">
        <v>15</v>
      </c>
      <c r="D508" s="10" t="s">
        <v>44</v>
      </c>
      <c r="E508" s="10" t="s">
        <v>17</v>
      </c>
      <c r="F508" s="10" t="s">
        <v>1822</v>
      </c>
      <c r="G508" s="10" t="s">
        <v>1823</v>
      </c>
      <c r="H508" s="10" t="s">
        <v>57</v>
      </c>
      <c r="I508" s="10" t="s">
        <v>58</v>
      </c>
      <c r="J508" s="10" t="s">
        <v>9</v>
      </c>
      <c r="K508" s="12">
        <v>46086.0</v>
      </c>
      <c r="L508" s="11" t="s">
        <v>1805</v>
      </c>
      <c r="M508" s="7" t="str">
        <f>IFERROR(__xludf.DUMMYFUNCTION("TEXT(
  IF(RIGHT(A508,2)=""mo"",
    EDATE(DATEVALUE(K508), -VALUE(REGEXEXTRACT(A508,""\d+""))),
    DATEVALUE(K508) - IF(RIGHT(A508,1)=""h"", VALUE(REGEXEXTRACT(A508,""\d+""))/24,
         IF(RIGHT(A508,1)=""d"", VALUE(REGEXEXTRACT(A508,""\d+"")),
      "&amp;"   IF(RIGHT(A508,1)=""w"", VALUE(REGEXEXTRACT(A508,""\d+""))*7,
         0)))
  )
, ""YYYY-M-D"")"),"2026-2-26")</f>
        <v>2026-2-26</v>
      </c>
    </row>
    <row r="509">
      <c r="A509" s="10" t="s">
        <v>379</v>
      </c>
      <c r="B509" s="10" t="s">
        <v>507</v>
      </c>
      <c r="C509" s="10" t="s">
        <v>15</v>
      </c>
      <c r="D509" s="10" t="s">
        <v>16</v>
      </c>
      <c r="E509" s="10" t="s">
        <v>17</v>
      </c>
      <c r="F509" s="10" t="s">
        <v>508</v>
      </c>
      <c r="G509" s="10" t="s">
        <v>509</v>
      </c>
      <c r="H509" s="10" t="s">
        <v>510</v>
      </c>
      <c r="I509" s="10" t="s">
        <v>511</v>
      </c>
      <c r="J509" s="10" t="s">
        <v>9</v>
      </c>
      <c r="K509" s="12">
        <v>46086.0</v>
      </c>
      <c r="L509" s="11" t="s">
        <v>1805</v>
      </c>
      <c r="M509" s="7" t="str">
        <f>IFERROR(__xludf.DUMMYFUNCTION("TEXT(
  IF(RIGHT(A509,2)=""mo"",
    EDATE(DATEVALUE(K509), -VALUE(REGEXEXTRACT(A509,""\d+""))),
    DATEVALUE(K509) - IF(RIGHT(A509,1)=""h"", VALUE(REGEXEXTRACT(A509,""\d+""))/24,
         IF(RIGHT(A509,1)=""d"", VALUE(REGEXEXTRACT(A509,""\d+"")),
      "&amp;"   IF(RIGHT(A509,1)=""w"", VALUE(REGEXEXTRACT(A509,""\d+""))*7,
         0)))
  )
, ""YYYY-M-D"")"),"2026-2-5")</f>
        <v>2026-2-5</v>
      </c>
    </row>
    <row r="510">
      <c r="A510" s="10" t="s">
        <v>674</v>
      </c>
      <c r="B510" s="10" t="s">
        <v>711</v>
      </c>
      <c r="C510" s="10" t="s">
        <v>15</v>
      </c>
      <c r="D510" s="10" t="s">
        <v>44</v>
      </c>
      <c r="E510" s="10" t="s">
        <v>17</v>
      </c>
      <c r="F510" s="10" t="s">
        <v>199</v>
      </c>
      <c r="G510" s="10" t="s">
        <v>1518</v>
      </c>
      <c r="H510" s="10" t="s">
        <v>712</v>
      </c>
      <c r="I510" s="10" t="s">
        <v>713</v>
      </c>
      <c r="J510" s="10" t="s">
        <v>9</v>
      </c>
      <c r="K510" s="12">
        <v>46086.0</v>
      </c>
      <c r="L510" s="11" t="s">
        <v>1805</v>
      </c>
      <c r="M510" s="7" t="str">
        <f>IFERROR(__xludf.DUMMYFUNCTION("TEXT(
  IF(RIGHT(A510,2)=""mo"",
    EDATE(DATEVALUE(K510), -VALUE(REGEXEXTRACT(A510,""\d+""))),
    DATEVALUE(K510) - IF(RIGHT(A510,1)=""h"", VALUE(REGEXEXTRACT(A510,""\d+""))/24,
         IF(RIGHT(A510,1)=""d"", VALUE(REGEXEXTRACT(A510,""\d+"")),
      "&amp;"   IF(RIGHT(A510,1)=""w"", VALUE(REGEXEXTRACT(A510,""\d+""))*7,
         0)))
  )
, ""YYYY-M-D"")"),"2025-12-5")</f>
        <v>2025-12-5</v>
      </c>
    </row>
    <row r="511">
      <c r="A511" s="10" t="s">
        <v>321</v>
      </c>
      <c r="B511" s="10" t="s">
        <v>1824</v>
      </c>
      <c r="C511" s="10" t="s">
        <v>1825</v>
      </c>
      <c r="D511" s="10" t="s">
        <v>37</v>
      </c>
      <c r="E511" s="10" t="s">
        <v>17</v>
      </c>
      <c r="F511" s="10" t="s">
        <v>493</v>
      </c>
      <c r="G511" s="10" t="s">
        <v>1447</v>
      </c>
      <c r="H511" s="10" t="s">
        <v>1826</v>
      </c>
      <c r="I511" s="10" t="s">
        <v>1827</v>
      </c>
      <c r="J511" s="10" t="s">
        <v>9</v>
      </c>
      <c r="K511" s="12">
        <v>46086.0</v>
      </c>
      <c r="L511" s="11" t="s">
        <v>1805</v>
      </c>
      <c r="M511" s="7" t="str">
        <f>IFERROR(__xludf.DUMMYFUNCTION("TEXT(
  IF(RIGHT(A511,2)=""mo"",
    EDATE(DATEVALUE(K511), -VALUE(REGEXEXTRACT(A511,""\d+""))),
    DATEVALUE(K511) - IF(RIGHT(A511,1)=""h"", VALUE(REGEXEXTRACT(A511,""\d+""))/24,
         IF(RIGHT(A511,1)=""d"", VALUE(REGEXEXTRACT(A511,""\d+"")),
      "&amp;"   IF(RIGHT(A511,1)=""w"", VALUE(REGEXEXTRACT(A511,""\d+""))*7,
         0)))
  )
, ""YYYY-M-D"")"),"2026-2-12")</f>
        <v>2026-2-12</v>
      </c>
    </row>
    <row r="512">
      <c r="A512" s="10" t="s">
        <v>581</v>
      </c>
      <c r="B512" s="10" t="s">
        <v>1828</v>
      </c>
      <c r="C512" s="10" t="s">
        <v>15</v>
      </c>
      <c r="D512" s="10" t="s">
        <v>16</v>
      </c>
      <c r="E512" s="10" t="s">
        <v>17</v>
      </c>
      <c r="F512" s="10" t="s">
        <v>806</v>
      </c>
      <c r="G512" s="10" t="s">
        <v>807</v>
      </c>
      <c r="H512" s="10" t="s">
        <v>1829</v>
      </c>
      <c r="I512" s="10" t="s">
        <v>1830</v>
      </c>
      <c r="J512" s="10" t="s">
        <v>9</v>
      </c>
      <c r="K512" s="12">
        <v>46086.0</v>
      </c>
      <c r="L512" s="11" t="s">
        <v>1805</v>
      </c>
      <c r="M512" s="7" t="str">
        <f>IFERROR(__xludf.DUMMYFUNCTION("TEXT(
  IF(RIGHT(A512,2)=""mo"",
    EDATE(DATEVALUE(K512), -VALUE(REGEXEXTRACT(A512,""\d+""))),
    DATEVALUE(K512) - IF(RIGHT(A512,1)=""h"", VALUE(REGEXEXTRACT(A512,""\d+""))/24,
         IF(RIGHT(A512,1)=""d"", VALUE(REGEXEXTRACT(A512,""\d+"")),
      "&amp;"   IF(RIGHT(A512,1)=""w"", VALUE(REGEXEXTRACT(A512,""\d+""))*7,
         0)))
  )
, ""YYYY-M-D"")"),"2026-1-5")</f>
        <v>2026-1-5</v>
      </c>
    </row>
    <row r="513">
      <c r="A513" s="10" t="s">
        <v>379</v>
      </c>
      <c r="B513" s="10" t="s">
        <v>1801</v>
      </c>
      <c r="C513" s="10" t="s">
        <v>518</v>
      </c>
      <c r="D513" s="10" t="s">
        <v>37</v>
      </c>
      <c r="E513" s="10" t="s">
        <v>17</v>
      </c>
      <c r="F513" s="10" t="s">
        <v>163</v>
      </c>
      <c r="G513" s="10" t="s">
        <v>1802</v>
      </c>
      <c r="H513" s="10" t="s">
        <v>1803</v>
      </c>
      <c r="I513" s="10" t="s">
        <v>1804</v>
      </c>
      <c r="J513" s="10" t="s">
        <v>9</v>
      </c>
      <c r="K513" s="12">
        <v>46086.0</v>
      </c>
      <c r="L513" s="11" t="s">
        <v>1831</v>
      </c>
      <c r="M513" s="7" t="str">
        <f>IFERROR(__xludf.DUMMYFUNCTION("TEXT(
  IF(RIGHT(A513,2)=""mo"",
    EDATE(DATEVALUE(K513), -VALUE(REGEXEXTRACT(A513,""\d+""))),
    DATEVALUE(K513) - IF(RIGHT(A513,1)=""h"", VALUE(REGEXEXTRACT(A513,""\d+""))/24,
         IF(RIGHT(A513,1)=""d"", VALUE(REGEXEXTRACT(A513,""\d+"")),
      "&amp;"   IF(RIGHT(A513,1)=""w"", VALUE(REGEXEXTRACT(A513,""\d+""))*7,
         0)))
  )
, ""YYYY-M-D"")"),"2026-2-5")</f>
        <v>2026-2-5</v>
      </c>
    </row>
    <row r="514">
      <c r="A514" s="10" t="s">
        <v>321</v>
      </c>
      <c r="B514" s="10" t="s">
        <v>1824</v>
      </c>
      <c r="C514" s="10" t="s">
        <v>1825</v>
      </c>
      <c r="D514" s="10" t="s">
        <v>37</v>
      </c>
      <c r="E514" s="10" t="s">
        <v>17</v>
      </c>
      <c r="F514" s="10" t="s">
        <v>493</v>
      </c>
      <c r="G514" s="10" t="s">
        <v>1447</v>
      </c>
      <c r="H514" s="10" t="s">
        <v>1826</v>
      </c>
      <c r="I514" s="10" t="s">
        <v>1827</v>
      </c>
      <c r="J514" s="10" t="s">
        <v>9</v>
      </c>
      <c r="K514" s="12">
        <v>46086.0</v>
      </c>
      <c r="L514" s="11" t="s">
        <v>1831</v>
      </c>
      <c r="M514" s="7" t="str">
        <f>IFERROR(__xludf.DUMMYFUNCTION("TEXT(
  IF(RIGHT(A514,2)=""mo"",
    EDATE(DATEVALUE(K514), -VALUE(REGEXEXTRACT(A514,""\d+""))),
    DATEVALUE(K514) - IF(RIGHT(A514,1)=""h"", VALUE(REGEXEXTRACT(A514,""\d+""))/24,
         IF(RIGHT(A514,1)=""d"", VALUE(REGEXEXTRACT(A514,""\d+"")),
      "&amp;"   IF(RIGHT(A514,1)=""w"", VALUE(REGEXEXTRACT(A514,""\d+""))*7,
         0)))
  )
, ""YYYY-M-D"")"),"2026-2-12")</f>
        <v>2026-2-12</v>
      </c>
    </row>
    <row r="515">
      <c r="A515" s="10" t="s">
        <v>173</v>
      </c>
      <c r="B515" s="10" t="s">
        <v>1449</v>
      </c>
      <c r="C515" s="10" t="s">
        <v>1450</v>
      </c>
      <c r="D515" s="10" t="s">
        <v>37</v>
      </c>
      <c r="E515" s="10" t="s">
        <v>17</v>
      </c>
      <c r="F515" s="10" t="s">
        <v>890</v>
      </c>
      <c r="G515" s="10" t="s">
        <v>1451</v>
      </c>
      <c r="H515" s="10" t="s">
        <v>1452</v>
      </c>
      <c r="I515" s="10" t="s">
        <v>1453</v>
      </c>
      <c r="J515" s="10" t="s">
        <v>9</v>
      </c>
      <c r="K515" s="12">
        <v>46086.0</v>
      </c>
      <c r="L515" s="11" t="s">
        <v>1831</v>
      </c>
      <c r="M515" s="7" t="str">
        <f>IFERROR(__xludf.DUMMYFUNCTION("TEXT(
  IF(RIGHT(A515,2)=""mo"",
    EDATE(DATEVALUE(K515), -VALUE(REGEXEXTRACT(A515,""\d+""))),
    DATEVALUE(K515) - IF(RIGHT(A515,1)=""h"", VALUE(REGEXEXTRACT(A515,""\d+""))/24,
         IF(RIGHT(A515,1)=""d"", VALUE(REGEXEXTRACT(A515,""\d+"")),
      "&amp;"   IF(RIGHT(A515,1)=""w"", VALUE(REGEXEXTRACT(A515,""\d+""))*7,
         0)))
  )
, ""YYYY-M-D"")"),"2026-2-26")</f>
        <v>2026-2-26</v>
      </c>
    </row>
    <row r="516">
      <c r="A516" s="10" t="s">
        <v>1814</v>
      </c>
      <c r="B516" s="10" t="s">
        <v>1815</v>
      </c>
      <c r="C516" s="10" t="s">
        <v>15</v>
      </c>
      <c r="D516" s="10" t="s">
        <v>16</v>
      </c>
      <c r="E516" s="10" t="s">
        <v>17</v>
      </c>
      <c r="F516" s="10" t="s">
        <v>707</v>
      </c>
      <c r="G516" s="10" t="s">
        <v>1458</v>
      </c>
      <c r="H516" s="10" t="s">
        <v>1816</v>
      </c>
      <c r="I516" s="10" t="s">
        <v>1817</v>
      </c>
      <c r="J516" s="10" t="s">
        <v>9</v>
      </c>
      <c r="K516" s="12">
        <v>46086.0</v>
      </c>
      <c r="L516" s="11" t="s">
        <v>1831</v>
      </c>
      <c r="M516" s="7" t="str">
        <f>IFERROR(__xludf.DUMMYFUNCTION("TEXT(
  IF(RIGHT(A516,2)=""mo"",
    EDATE(DATEVALUE(K516), -VALUE(REGEXEXTRACT(A516,""\d+""))),
    DATEVALUE(K516) - IF(RIGHT(A516,1)=""h"", VALUE(REGEXEXTRACT(A516,""\d+""))/24,
         IF(RIGHT(A516,1)=""d"", VALUE(REGEXEXTRACT(A516,""\d+"")),
      "&amp;"   IF(RIGHT(A516,1)=""w"", VALUE(REGEXEXTRACT(A516,""\d+""))*7,
         0)))
  )
, ""YYYY-M-D"")"),"2025-9-5")</f>
        <v>2025-9-5</v>
      </c>
    </row>
    <row r="517">
      <c r="A517" s="10" t="s">
        <v>379</v>
      </c>
      <c r="B517" s="10" t="s">
        <v>1832</v>
      </c>
      <c r="C517" s="10" t="s">
        <v>15</v>
      </c>
      <c r="D517" s="10" t="s">
        <v>44</v>
      </c>
      <c r="E517" s="10" t="s">
        <v>17</v>
      </c>
      <c r="F517" s="10" t="s">
        <v>357</v>
      </c>
      <c r="G517" s="10" t="s">
        <v>1412</v>
      </c>
      <c r="H517" s="10" t="s">
        <v>1833</v>
      </c>
      <c r="I517" s="10" t="s">
        <v>1834</v>
      </c>
      <c r="J517" s="10" t="s">
        <v>9</v>
      </c>
      <c r="K517" s="12">
        <v>46086.0</v>
      </c>
      <c r="L517" s="11" t="s">
        <v>1835</v>
      </c>
      <c r="M517" s="7" t="str">
        <f>IFERROR(__xludf.DUMMYFUNCTION("TEXT(
  IF(RIGHT(A517,2)=""mo"",
    EDATE(DATEVALUE(K517), -VALUE(REGEXEXTRACT(A517,""\d+""))),
    DATEVALUE(K517) - IF(RIGHT(A517,1)=""h"", VALUE(REGEXEXTRACT(A517,""\d+""))/24,
         IF(RIGHT(A517,1)=""d"", VALUE(REGEXEXTRACT(A517,""\d+"")),
      "&amp;"   IF(RIGHT(A517,1)=""w"", VALUE(REGEXEXTRACT(A517,""\d+""))*7,
         0)))
  )
, ""YYYY-M-D"")"),"2026-2-5")</f>
        <v>2026-2-5</v>
      </c>
    </row>
    <row r="518">
      <c r="A518" s="10" t="s">
        <v>321</v>
      </c>
      <c r="B518" s="10" t="s">
        <v>1824</v>
      </c>
      <c r="C518" s="10" t="s">
        <v>1825</v>
      </c>
      <c r="D518" s="10" t="s">
        <v>37</v>
      </c>
      <c r="E518" s="10" t="s">
        <v>17</v>
      </c>
      <c r="F518" s="10" t="s">
        <v>493</v>
      </c>
      <c r="G518" s="10" t="s">
        <v>1447</v>
      </c>
      <c r="H518" s="10" t="s">
        <v>1826</v>
      </c>
      <c r="I518" s="10" t="s">
        <v>1827</v>
      </c>
      <c r="J518" s="10" t="s">
        <v>9</v>
      </c>
      <c r="K518" s="12">
        <v>46086.0</v>
      </c>
      <c r="L518" s="11" t="s">
        <v>1835</v>
      </c>
      <c r="M518" s="7" t="str">
        <f>IFERROR(__xludf.DUMMYFUNCTION("TEXT(
  IF(RIGHT(A518,2)=""mo"",
    EDATE(DATEVALUE(K518), -VALUE(REGEXEXTRACT(A518,""\d+""))),
    DATEVALUE(K518) - IF(RIGHT(A518,1)=""h"", VALUE(REGEXEXTRACT(A518,""\d+""))/24,
         IF(RIGHT(A518,1)=""d"", VALUE(REGEXEXTRACT(A518,""\d+"")),
      "&amp;"   IF(RIGHT(A518,1)=""w"", VALUE(REGEXEXTRACT(A518,""\d+""))*7,
         0)))
  )
, ""YYYY-M-D"")"),"2026-2-12")</f>
        <v>2026-2-12</v>
      </c>
    </row>
    <row r="519">
      <c r="A519" s="10" t="s">
        <v>714</v>
      </c>
      <c r="B519" s="10" t="s">
        <v>43</v>
      </c>
      <c r="C519" s="10" t="s">
        <v>15</v>
      </c>
      <c r="D519" s="10" t="s">
        <v>44</v>
      </c>
      <c r="E519" s="10" t="s">
        <v>17</v>
      </c>
      <c r="F519" s="10" t="s">
        <v>1836</v>
      </c>
      <c r="G519" s="10" t="s">
        <v>1837</v>
      </c>
      <c r="H519" s="10" t="s">
        <v>1838</v>
      </c>
      <c r="I519" s="10" t="s">
        <v>1839</v>
      </c>
      <c r="J519" s="10" t="s">
        <v>9</v>
      </c>
      <c r="K519" s="12">
        <v>46086.0</v>
      </c>
      <c r="L519" s="11" t="s">
        <v>1835</v>
      </c>
      <c r="M519" s="7" t="str">
        <f>IFERROR(__xludf.DUMMYFUNCTION("TEXT(
  IF(RIGHT(A519,2)=""mo"",
    EDATE(DATEVALUE(K519), -VALUE(REGEXEXTRACT(A519,""\d+""))),
    DATEVALUE(K519) - IF(RIGHT(A519,1)=""h"", VALUE(REGEXEXTRACT(A519,""\d+""))/24,
         IF(RIGHT(A519,1)=""d"", VALUE(REGEXEXTRACT(A519,""\d+"")),
      "&amp;"   IF(RIGHT(A519,1)=""w"", VALUE(REGEXEXTRACT(A519,""\d+""))*7,
         0)))
  )
, ""YYYY-M-D"")"),"2025-11-5")</f>
        <v>2025-11-5</v>
      </c>
    </row>
    <row r="520">
      <c r="A520" s="10" t="s">
        <v>173</v>
      </c>
      <c r="B520" s="10" t="s">
        <v>1449</v>
      </c>
      <c r="C520" s="10" t="s">
        <v>1450</v>
      </c>
      <c r="D520" s="10" t="s">
        <v>37</v>
      </c>
      <c r="E520" s="10" t="s">
        <v>17</v>
      </c>
      <c r="F520" s="10" t="s">
        <v>890</v>
      </c>
      <c r="G520" s="10" t="s">
        <v>1451</v>
      </c>
      <c r="H520" s="10" t="s">
        <v>1452</v>
      </c>
      <c r="I520" s="10" t="s">
        <v>1453</v>
      </c>
      <c r="J520" s="10" t="s">
        <v>9</v>
      </c>
      <c r="K520" s="12">
        <v>46086.0</v>
      </c>
      <c r="L520" s="11" t="s">
        <v>1835</v>
      </c>
      <c r="M520" s="7" t="str">
        <f>IFERROR(__xludf.DUMMYFUNCTION("TEXT(
  IF(RIGHT(A520,2)=""mo"",
    EDATE(DATEVALUE(K520), -VALUE(REGEXEXTRACT(A520,""\d+""))),
    DATEVALUE(K520) - IF(RIGHT(A520,1)=""h"", VALUE(REGEXEXTRACT(A520,""\d+""))/24,
         IF(RIGHT(A520,1)=""d"", VALUE(REGEXEXTRACT(A520,""\d+"")),
      "&amp;"   IF(RIGHT(A520,1)=""w"", VALUE(REGEXEXTRACT(A520,""\d+""))*7,
         0)))
  )
, ""YYYY-M-D"")"),"2026-2-26")</f>
        <v>2026-2-26</v>
      </c>
    </row>
    <row r="521">
      <c r="A521" s="10" t="s">
        <v>239</v>
      </c>
      <c r="B521" s="10" t="s">
        <v>1478</v>
      </c>
      <c r="C521" s="10" t="s">
        <v>15</v>
      </c>
      <c r="D521" s="10" t="s">
        <v>37</v>
      </c>
      <c r="E521" s="10" t="s">
        <v>17</v>
      </c>
      <c r="F521" s="10" t="s">
        <v>444</v>
      </c>
      <c r="G521" s="10" t="s">
        <v>1479</v>
      </c>
      <c r="H521" s="10" t="s">
        <v>1480</v>
      </c>
      <c r="I521" s="10" t="s">
        <v>1481</v>
      </c>
      <c r="J521" s="10" t="s">
        <v>9</v>
      </c>
      <c r="K521" s="12">
        <v>46086.0</v>
      </c>
      <c r="L521" s="11" t="s">
        <v>1835</v>
      </c>
      <c r="M521" s="7" t="str">
        <f>IFERROR(__xludf.DUMMYFUNCTION("TEXT(
  IF(RIGHT(A521,2)=""mo"",
    EDATE(DATEVALUE(K521), -VALUE(REGEXEXTRACT(A521,""\d+""))),
    DATEVALUE(K521) - IF(RIGHT(A521,1)=""h"", VALUE(REGEXEXTRACT(A521,""\d+""))/24,
         IF(RIGHT(A521,1)=""d"", VALUE(REGEXEXTRACT(A521,""\d+"")),
      "&amp;"   IF(RIGHT(A521,1)=""w"", VALUE(REGEXEXTRACT(A521,""\d+""))*7,
         0)))
  )
, ""YYYY-M-D"")"),"2026-2-19")</f>
        <v>2026-2-19</v>
      </c>
    </row>
    <row r="522">
      <c r="A522" s="10" t="s">
        <v>379</v>
      </c>
      <c r="B522" s="10" t="s">
        <v>1005</v>
      </c>
      <c r="C522" s="10" t="s">
        <v>15</v>
      </c>
      <c r="D522" s="10" t="s">
        <v>44</v>
      </c>
      <c r="E522" s="10" t="s">
        <v>17</v>
      </c>
      <c r="F522" s="10" t="s">
        <v>1496</v>
      </c>
      <c r="G522" s="10" t="s">
        <v>1497</v>
      </c>
      <c r="H522" s="10" t="s">
        <v>1008</v>
      </c>
      <c r="I522" s="10" t="s">
        <v>1009</v>
      </c>
      <c r="J522" s="10" t="s">
        <v>9</v>
      </c>
      <c r="K522" s="12">
        <v>46086.0</v>
      </c>
      <c r="L522" s="11" t="s">
        <v>1835</v>
      </c>
      <c r="M522" s="7" t="str">
        <f>IFERROR(__xludf.DUMMYFUNCTION("TEXT(
  IF(RIGHT(A522,2)=""mo"",
    EDATE(DATEVALUE(K522), -VALUE(REGEXEXTRACT(A522,""\d+""))),
    DATEVALUE(K522) - IF(RIGHT(A522,1)=""h"", VALUE(REGEXEXTRACT(A522,""\d+""))/24,
         IF(RIGHT(A522,1)=""d"", VALUE(REGEXEXTRACT(A522,""\d+"")),
      "&amp;"   IF(RIGHT(A522,1)=""w"", VALUE(REGEXEXTRACT(A522,""\d+""))*7,
         0)))
  )
, ""YYYY-M-D"")"),"2026-2-5")</f>
        <v>2026-2-5</v>
      </c>
    </row>
    <row r="523">
      <c r="A523" s="10" t="s">
        <v>581</v>
      </c>
      <c r="B523" s="10" t="s">
        <v>822</v>
      </c>
      <c r="C523" s="10" t="s">
        <v>15</v>
      </c>
      <c r="D523" s="10" t="s">
        <v>44</v>
      </c>
      <c r="E523" s="10" t="s">
        <v>17</v>
      </c>
      <c r="F523" s="10" t="s">
        <v>45</v>
      </c>
      <c r="G523" s="10" t="s">
        <v>823</v>
      </c>
      <c r="H523" s="10" t="s">
        <v>824</v>
      </c>
      <c r="I523" s="10" t="s">
        <v>825</v>
      </c>
      <c r="J523" s="10" t="s">
        <v>9</v>
      </c>
      <c r="K523" s="12">
        <v>46086.0</v>
      </c>
      <c r="L523" s="11" t="s">
        <v>1835</v>
      </c>
      <c r="M523" s="7" t="str">
        <f>IFERROR(__xludf.DUMMYFUNCTION("TEXT(
  IF(RIGHT(A523,2)=""mo"",
    EDATE(DATEVALUE(K523), -VALUE(REGEXEXTRACT(A523,""\d+""))),
    DATEVALUE(K523) - IF(RIGHT(A523,1)=""h"", VALUE(REGEXEXTRACT(A523,""\d+""))/24,
         IF(RIGHT(A523,1)=""d"", VALUE(REGEXEXTRACT(A523,""\d+"")),
      "&amp;"   IF(RIGHT(A523,1)=""w"", VALUE(REGEXEXTRACT(A523,""\d+""))*7,
         0)))
  )
, ""YYYY-M-D"")"),"2026-1-5")</f>
        <v>2026-1-5</v>
      </c>
    </row>
    <row r="524">
      <c r="A524" s="10" t="s">
        <v>379</v>
      </c>
      <c r="B524" s="10" t="s">
        <v>1840</v>
      </c>
      <c r="C524" s="10" t="s">
        <v>15</v>
      </c>
      <c r="D524" s="10" t="s">
        <v>16</v>
      </c>
      <c r="E524" s="10" t="s">
        <v>17</v>
      </c>
      <c r="F524" s="10" t="s">
        <v>31</v>
      </c>
      <c r="G524" s="10" t="s">
        <v>32</v>
      </c>
      <c r="H524" s="10" t="s">
        <v>1841</v>
      </c>
      <c r="I524" s="10" t="s">
        <v>1842</v>
      </c>
      <c r="J524" s="10" t="s">
        <v>9</v>
      </c>
      <c r="K524" s="12">
        <v>46086.0</v>
      </c>
      <c r="L524" s="11" t="s">
        <v>1835</v>
      </c>
      <c r="M524" s="7" t="str">
        <f>IFERROR(__xludf.DUMMYFUNCTION("TEXT(
  IF(RIGHT(A524,2)=""mo"",
    EDATE(DATEVALUE(K524), -VALUE(REGEXEXTRACT(A524,""\d+""))),
    DATEVALUE(K524) - IF(RIGHT(A524,1)=""h"", VALUE(REGEXEXTRACT(A524,""\d+""))/24,
         IF(RIGHT(A524,1)=""d"", VALUE(REGEXEXTRACT(A524,""\d+"")),
      "&amp;"   IF(RIGHT(A524,1)=""w"", VALUE(REGEXEXTRACT(A524,""\d+""))*7,
         0)))
  )
, ""YYYY-M-D"")"),"2026-2-5")</f>
        <v>2026-2-5</v>
      </c>
    </row>
    <row r="525">
      <c r="A525" s="10" t="s">
        <v>714</v>
      </c>
      <c r="B525" s="10" t="s">
        <v>725</v>
      </c>
      <c r="C525" s="10" t="s">
        <v>726</v>
      </c>
      <c r="D525" s="10" t="s">
        <v>37</v>
      </c>
      <c r="E525" s="10" t="s">
        <v>17</v>
      </c>
      <c r="F525" s="10" t="s">
        <v>727</v>
      </c>
      <c r="G525" s="10" t="s">
        <v>1843</v>
      </c>
      <c r="H525" s="10" t="s">
        <v>729</v>
      </c>
      <c r="I525" s="10" t="s">
        <v>730</v>
      </c>
      <c r="J525" s="10" t="s">
        <v>9</v>
      </c>
      <c r="K525" s="12">
        <v>46086.0</v>
      </c>
      <c r="L525" s="11" t="s">
        <v>1835</v>
      </c>
      <c r="M525" s="7" t="str">
        <f>IFERROR(__xludf.DUMMYFUNCTION("TEXT(
  IF(RIGHT(A525,2)=""mo"",
    EDATE(DATEVALUE(K525), -VALUE(REGEXEXTRACT(A525,""\d+""))),
    DATEVALUE(K525) - IF(RIGHT(A525,1)=""h"", VALUE(REGEXEXTRACT(A525,""\d+""))/24,
         IF(RIGHT(A525,1)=""d"", VALUE(REGEXEXTRACT(A525,""\d+"")),
      "&amp;"   IF(RIGHT(A525,1)=""w"", VALUE(REGEXEXTRACT(A525,""\d+""))*7,
         0)))
  )
, ""YYYY-M-D"")"),"2025-11-5")</f>
        <v>2025-11-5</v>
      </c>
    </row>
    <row r="526">
      <c r="A526" s="10" t="s">
        <v>379</v>
      </c>
      <c r="B526" s="10" t="s">
        <v>912</v>
      </c>
      <c r="C526" s="10" t="s">
        <v>15</v>
      </c>
      <c r="D526" s="10" t="s">
        <v>16</v>
      </c>
      <c r="E526" s="10" t="s">
        <v>913</v>
      </c>
      <c r="F526" s="10" t="s">
        <v>914</v>
      </c>
      <c r="G526" s="10" t="s">
        <v>915</v>
      </c>
      <c r="H526" s="10" t="s">
        <v>916</v>
      </c>
      <c r="I526" s="10" t="s">
        <v>917</v>
      </c>
      <c r="J526" s="10" t="s">
        <v>9</v>
      </c>
      <c r="K526" s="12">
        <v>46086.0</v>
      </c>
      <c r="L526" s="11" t="s">
        <v>1835</v>
      </c>
      <c r="M526" s="7" t="str">
        <f>IFERROR(__xludf.DUMMYFUNCTION("TEXT(
  IF(RIGHT(A526,2)=""mo"",
    EDATE(DATEVALUE(K526), -VALUE(REGEXEXTRACT(A526,""\d+""))),
    DATEVALUE(K526) - IF(RIGHT(A526,1)=""h"", VALUE(REGEXEXTRACT(A526,""\d+""))/24,
         IF(RIGHT(A526,1)=""d"", VALUE(REGEXEXTRACT(A526,""\d+"")),
      "&amp;"   IF(RIGHT(A526,1)=""w"", VALUE(REGEXEXTRACT(A526,""\d+""))*7,
         0)))
  )
, ""YYYY-M-D"")"),"2026-2-5")</f>
        <v>2026-2-5</v>
      </c>
    </row>
    <row r="527">
      <c r="A527" s="10" t="s">
        <v>173</v>
      </c>
      <c r="B527" s="10" t="s">
        <v>76</v>
      </c>
      <c r="C527" s="10" t="s">
        <v>15</v>
      </c>
      <c r="D527" s="10" t="s">
        <v>44</v>
      </c>
      <c r="E527" s="10" t="s">
        <v>17</v>
      </c>
      <c r="F527" s="10" t="s">
        <v>77</v>
      </c>
      <c r="G527" s="10" t="s">
        <v>1844</v>
      </c>
      <c r="H527" s="10" t="s">
        <v>79</v>
      </c>
      <c r="I527" s="10" t="s">
        <v>80</v>
      </c>
      <c r="J527" s="10" t="s">
        <v>9</v>
      </c>
      <c r="K527" s="12">
        <v>46086.0</v>
      </c>
      <c r="L527" s="11" t="s">
        <v>1835</v>
      </c>
      <c r="M527" s="7" t="str">
        <f>IFERROR(__xludf.DUMMYFUNCTION("TEXT(
  IF(RIGHT(A527,2)=""mo"",
    EDATE(DATEVALUE(K527), -VALUE(REGEXEXTRACT(A527,""\d+""))),
    DATEVALUE(K527) - IF(RIGHT(A527,1)=""h"", VALUE(REGEXEXTRACT(A527,""\d+""))/24,
         IF(RIGHT(A527,1)=""d"", VALUE(REGEXEXTRACT(A527,""\d+"")),
      "&amp;"   IF(RIGHT(A527,1)=""w"", VALUE(REGEXEXTRACT(A527,""\d+""))*7,
         0)))
  )
, ""YYYY-M-D"")"),"2026-2-26")</f>
        <v>2026-2-26</v>
      </c>
    </row>
    <row r="528">
      <c r="A528" s="10" t="s">
        <v>321</v>
      </c>
      <c r="B528" s="10" t="s">
        <v>1845</v>
      </c>
      <c r="C528" s="10" t="s">
        <v>15</v>
      </c>
      <c r="D528" s="10" t="s">
        <v>37</v>
      </c>
      <c r="E528" s="10" t="s">
        <v>17</v>
      </c>
      <c r="F528" s="10" t="s">
        <v>130</v>
      </c>
      <c r="G528" s="10" t="s">
        <v>1807</v>
      </c>
      <c r="H528" s="10" t="s">
        <v>1846</v>
      </c>
      <c r="I528" s="10" t="s">
        <v>1847</v>
      </c>
      <c r="J528" s="10" t="s">
        <v>9</v>
      </c>
      <c r="K528" s="12">
        <v>46086.0</v>
      </c>
      <c r="L528" s="11" t="s">
        <v>1835</v>
      </c>
      <c r="M528" s="7" t="str">
        <f>IFERROR(__xludf.DUMMYFUNCTION("TEXT(
  IF(RIGHT(A528,2)=""mo"",
    EDATE(DATEVALUE(K528), -VALUE(REGEXEXTRACT(A528,""\d+""))),
    DATEVALUE(K528) - IF(RIGHT(A528,1)=""h"", VALUE(REGEXEXTRACT(A528,""\d+""))/24,
         IF(RIGHT(A528,1)=""d"", VALUE(REGEXEXTRACT(A528,""\d+"")),
      "&amp;"   IF(RIGHT(A528,1)=""w"", VALUE(REGEXEXTRACT(A528,""\d+""))*7,
         0)))
  )
, ""YYYY-M-D"")"),"2026-2-12")</f>
        <v>2026-2-12</v>
      </c>
    </row>
    <row r="529">
      <c r="A529" s="10" t="s">
        <v>581</v>
      </c>
      <c r="B529" s="10" t="s">
        <v>1848</v>
      </c>
      <c r="C529" s="10" t="s">
        <v>15</v>
      </c>
      <c r="D529" s="10" t="s">
        <v>16</v>
      </c>
      <c r="E529" s="10" t="s">
        <v>61</v>
      </c>
      <c r="F529" s="10" t="s">
        <v>381</v>
      </c>
      <c r="G529" s="10" t="s">
        <v>1849</v>
      </c>
      <c r="H529" s="10" t="s">
        <v>1850</v>
      </c>
      <c r="I529" s="10" t="s">
        <v>1851</v>
      </c>
      <c r="J529" s="10" t="s">
        <v>9</v>
      </c>
      <c r="K529" s="12">
        <v>46086.0</v>
      </c>
      <c r="L529" s="11" t="s">
        <v>1835</v>
      </c>
      <c r="M529" s="7" t="str">
        <f>IFERROR(__xludf.DUMMYFUNCTION("TEXT(
  IF(RIGHT(A529,2)=""mo"",
    EDATE(DATEVALUE(K529), -VALUE(REGEXEXTRACT(A529,""\d+""))),
    DATEVALUE(K529) - IF(RIGHT(A529,1)=""h"", VALUE(REGEXEXTRACT(A529,""\d+""))/24,
         IF(RIGHT(A529,1)=""d"", VALUE(REGEXEXTRACT(A529,""\d+"")),
      "&amp;"   IF(RIGHT(A529,1)=""w"", VALUE(REGEXEXTRACT(A529,""\d+""))*7,
         0)))
  )
, ""YYYY-M-D"")"),"2026-1-5")</f>
        <v>2026-1-5</v>
      </c>
    </row>
    <row r="530">
      <c r="A530" s="10" t="s">
        <v>379</v>
      </c>
      <c r="B530" s="10" t="s">
        <v>517</v>
      </c>
      <c r="C530" s="10" t="s">
        <v>518</v>
      </c>
      <c r="D530" s="10" t="s">
        <v>44</v>
      </c>
      <c r="E530" s="10" t="s">
        <v>17</v>
      </c>
      <c r="F530" s="10" t="s">
        <v>519</v>
      </c>
      <c r="G530" s="10" t="s">
        <v>1852</v>
      </c>
      <c r="H530" s="10" t="s">
        <v>521</v>
      </c>
      <c r="I530" s="10" t="s">
        <v>522</v>
      </c>
      <c r="J530" s="10" t="s">
        <v>9</v>
      </c>
      <c r="K530" s="12">
        <v>46086.0</v>
      </c>
      <c r="L530" s="11" t="s">
        <v>1835</v>
      </c>
      <c r="M530" s="7" t="str">
        <f>IFERROR(__xludf.DUMMYFUNCTION("TEXT(
  IF(RIGHT(A530,2)=""mo"",
    EDATE(DATEVALUE(K530), -VALUE(REGEXEXTRACT(A530,""\d+""))),
    DATEVALUE(K530) - IF(RIGHT(A530,1)=""h"", VALUE(REGEXEXTRACT(A530,""\d+""))/24,
         IF(RIGHT(A530,1)=""d"", VALUE(REGEXEXTRACT(A530,""\d+"")),
      "&amp;"   IF(RIGHT(A530,1)=""w"", VALUE(REGEXEXTRACT(A530,""\d+""))*7,
         0)))
  )
, ""YYYY-M-D"")"),"2026-2-5")</f>
        <v>2026-2-5</v>
      </c>
    </row>
    <row r="531">
      <c r="A531" s="10" t="s">
        <v>379</v>
      </c>
      <c r="B531" s="10" t="s">
        <v>394</v>
      </c>
      <c r="C531" s="10" t="s">
        <v>15</v>
      </c>
      <c r="D531" s="10" t="s">
        <v>16</v>
      </c>
      <c r="E531" s="10" t="s">
        <v>17</v>
      </c>
      <c r="F531" s="10" t="s">
        <v>395</v>
      </c>
      <c r="G531" s="10" t="s">
        <v>800</v>
      </c>
      <c r="H531" s="10" t="s">
        <v>397</v>
      </c>
      <c r="I531" s="10" t="s">
        <v>398</v>
      </c>
      <c r="J531" s="10" t="s">
        <v>9</v>
      </c>
      <c r="K531" s="12">
        <v>46086.0</v>
      </c>
      <c r="L531" s="11" t="s">
        <v>1835</v>
      </c>
      <c r="M531" s="7" t="str">
        <f>IFERROR(__xludf.DUMMYFUNCTION("TEXT(
  IF(RIGHT(A531,2)=""mo"",
    EDATE(DATEVALUE(K531), -VALUE(REGEXEXTRACT(A531,""\d+""))),
    DATEVALUE(K531) - IF(RIGHT(A531,1)=""h"", VALUE(REGEXEXTRACT(A531,""\d+""))/24,
         IF(RIGHT(A531,1)=""d"", VALUE(REGEXEXTRACT(A531,""\d+"")),
      "&amp;"   IF(RIGHT(A531,1)=""w"", VALUE(REGEXEXTRACT(A531,""\d+""))*7,
         0)))
  )
, ""YYYY-M-D"")"),"2026-2-5")</f>
        <v>2026-2-5</v>
      </c>
    </row>
    <row r="532">
      <c r="A532" s="10" t="s">
        <v>674</v>
      </c>
      <c r="B532" s="10" t="s">
        <v>1853</v>
      </c>
      <c r="C532" s="10" t="s">
        <v>15</v>
      </c>
      <c r="D532" s="10" t="s">
        <v>44</v>
      </c>
      <c r="E532" s="10" t="s">
        <v>421</v>
      </c>
      <c r="F532" s="10" t="s">
        <v>199</v>
      </c>
      <c r="G532" s="10" t="s">
        <v>1541</v>
      </c>
      <c r="H532" s="10" t="s">
        <v>1854</v>
      </c>
      <c r="I532" s="10" t="s">
        <v>1855</v>
      </c>
      <c r="J532" s="10" t="s">
        <v>9</v>
      </c>
      <c r="K532" s="12">
        <v>46086.0</v>
      </c>
      <c r="L532" s="11" t="s">
        <v>1835</v>
      </c>
      <c r="M532" s="7" t="str">
        <f>IFERROR(__xludf.DUMMYFUNCTION("TEXT(
  IF(RIGHT(A532,2)=""mo"",
    EDATE(DATEVALUE(K532), -VALUE(REGEXEXTRACT(A532,""\d+""))),
    DATEVALUE(K532) - IF(RIGHT(A532,1)=""h"", VALUE(REGEXEXTRACT(A532,""\d+""))/24,
         IF(RIGHT(A532,1)=""d"", VALUE(REGEXEXTRACT(A532,""\d+"")),
      "&amp;"   IF(RIGHT(A532,1)=""w"", VALUE(REGEXEXTRACT(A532,""\d+""))*7,
         0)))
  )
, ""YYYY-M-D"")"),"2025-12-5")</f>
        <v>2025-12-5</v>
      </c>
    </row>
    <row r="533">
      <c r="A533" s="10" t="s">
        <v>379</v>
      </c>
      <c r="B533" s="10" t="s">
        <v>536</v>
      </c>
      <c r="C533" s="10" t="s">
        <v>15</v>
      </c>
      <c r="D533" s="10" t="s">
        <v>16</v>
      </c>
      <c r="E533" s="10" t="s">
        <v>17</v>
      </c>
      <c r="F533" s="10" t="s">
        <v>537</v>
      </c>
      <c r="G533" s="10" t="s">
        <v>874</v>
      </c>
      <c r="H533" s="10" t="s">
        <v>539</v>
      </c>
      <c r="I533" s="10" t="s">
        <v>540</v>
      </c>
      <c r="J533" s="10" t="s">
        <v>9</v>
      </c>
      <c r="K533" s="12">
        <v>46086.0</v>
      </c>
      <c r="L533" s="11" t="s">
        <v>1835</v>
      </c>
      <c r="M533" s="7" t="str">
        <f>IFERROR(__xludf.DUMMYFUNCTION("TEXT(
  IF(RIGHT(A533,2)=""mo"",
    EDATE(DATEVALUE(K533), -VALUE(REGEXEXTRACT(A533,""\d+""))),
    DATEVALUE(K533) - IF(RIGHT(A533,1)=""h"", VALUE(REGEXEXTRACT(A533,""\d+""))/24,
         IF(RIGHT(A533,1)=""d"", VALUE(REGEXEXTRACT(A533,""\d+"")),
      "&amp;"   IF(RIGHT(A533,1)=""w"", VALUE(REGEXEXTRACT(A533,""\d+""))*7,
         0)))
  )
, ""YYYY-M-D"")"),"2026-2-5")</f>
        <v>2026-2-5</v>
      </c>
    </row>
    <row r="534">
      <c r="A534" s="10" t="s">
        <v>173</v>
      </c>
      <c r="B534" s="10" t="s">
        <v>826</v>
      </c>
      <c r="C534" s="10" t="s">
        <v>827</v>
      </c>
      <c r="D534" s="10" t="s">
        <v>37</v>
      </c>
      <c r="E534" s="10" t="s">
        <v>17</v>
      </c>
      <c r="F534" s="10" t="s">
        <v>38</v>
      </c>
      <c r="G534" s="10" t="s">
        <v>1813</v>
      </c>
      <c r="H534" s="10" t="s">
        <v>828</v>
      </c>
      <c r="I534" s="10" t="s">
        <v>829</v>
      </c>
      <c r="J534" s="10" t="s">
        <v>9</v>
      </c>
      <c r="K534" s="12">
        <v>46086.0</v>
      </c>
      <c r="L534" s="11" t="s">
        <v>1835</v>
      </c>
      <c r="M534" s="7" t="str">
        <f>IFERROR(__xludf.DUMMYFUNCTION("TEXT(
  IF(RIGHT(A534,2)=""mo"",
    EDATE(DATEVALUE(K534), -VALUE(REGEXEXTRACT(A534,""\d+""))),
    DATEVALUE(K534) - IF(RIGHT(A534,1)=""h"", VALUE(REGEXEXTRACT(A534,""\d+""))/24,
         IF(RIGHT(A534,1)=""d"", VALUE(REGEXEXTRACT(A534,""\d+"")),
      "&amp;"   IF(RIGHT(A534,1)=""w"", VALUE(REGEXEXTRACT(A534,""\d+""))*7,
         0)))
  )
, ""YYYY-M-D"")"),"2026-2-26")</f>
        <v>2026-2-26</v>
      </c>
    </row>
    <row r="535">
      <c r="A535" s="10" t="s">
        <v>379</v>
      </c>
      <c r="B535" s="10" t="s">
        <v>1856</v>
      </c>
      <c r="C535" s="10" t="s">
        <v>15</v>
      </c>
      <c r="D535" s="10" t="s">
        <v>16</v>
      </c>
      <c r="E535" s="10" t="s">
        <v>17</v>
      </c>
      <c r="F535" s="10" t="s">
        <v>1421</v>
      </c>
      <c r="G535" s="10" t="s">
        <v>1857</v>
      </c>
      <c r="H535" s="10" t="s">
        <v>1858</v>
      </c>
      <c r="I535" s="10" t="s">
        <v>21</v>
      </c>
      <c r="J535" s="10" t="s">
        <v>9</v>
      </c>
      <c r="K535" s="12">
        <v>46086.0</v>
      </c>
      <c r="L535" s="11" t="s">
        <v>1835</v>
      </c>
      <c r="M535" s="7" t="str">
        <f>IFERROR(__xludf.DUMMYFUNCTION("TEXT(
  IF(RIGHT(A535,2)=""mo"",
    EDATE(DATEVALUE(K535), -VALUE(REGEXEXTRACT(A535,""\d+""))),
    DATEVALUE(K535) - IF(RIGHT(A535,1)=""h"", VALUE(REGEXEXTRACT(A535,""\d+""))/24,
         IF(RIGHT(A535,1)=""d"", VALUE(REGEXEXTRACT(A535,""\d+"")),
      "&amp;"   IF(RIGHT(A535,1)=""w"", VALUE(REGEXEXTRACT(A535,""\d+""))*7,
         0)))
  )
, ""YYYY-M-D"")"),"2026-2-5")</f>
        <v>2026-2-5</v>
      </c>
    </row>
    <row r="536">
      <c r="A536" s="10" t="s">
        <v>581</v>
      </c>
      <c r="B536" s="10" t="s">
        <v>1020</v>
      </c>
      <c r="C536" s="10" t="s">
        <v>1859</v>
      </c>
      <c r="D536" s="10" t="s">
        <v>37</v>
      </c>
      <c r="E536" s="10" t="s">
        <v>17</v>
      </c>
      <c r="F536" s="10" t="s">
        <v>493</v>
      </c>
      <c r="G536" s="10" t="s">
        <v>1754</v>
      </c>
      <c r="H536" s="10" t="s">
        <v>1860</v>
      </c>
      <c r="I536" s="10" t="s">
        <v>21</v>
      </c>
      <c r="J536" s="10" t="s">
        <v>9</v>
      </c>
      <c r="K536" s="12">
        <v>46086.0</v>
      </c>
      <c r="L536" s="11" t="s">
        <v>1835</v>
      </c>
      <c r="M536" s="7" t="str">
        <f>IFERROR(__xludf.DUMMYFUNCTION("TEXT(
  IF(RIGHT(A536,2)=""mo"",
    EDATE(DATEVALUE(K536), -VALUE(REGEXEXTRACT(A536,""\d+""))),
    DATEVALUE(K536) - IF(RIGHT(A536,1)=""h"", VALUE(REGEXEXTRACT(A536,""\d+""))/24,
         IF(RIGHT(A536,1)=""d"", VALUE(REGEXEXTRACT(A536,""\d+"")),
      "&amp;"   IF(RIGHT(A536,1)=""w"", VALUE(REGEXEXTRACT(A536,""\d+""))*7,
         0)))
  )
, ""YYYY-M-D"")"),"2026-1-5")</f>
        <v>2026-1-5</v>
      </c>
    </row>
    <row r="537">
      <c r="A537" s="10" t="s">
        <v>370</v>
      </c>
      <c r="B537" s="10" t="s">
        <v>1490</v>
      </c>
      <c r="C537" s="10" t="s">
        <v>1491</v>
      </c>
      <c r="D537" s="10" t="s">
        <v>37</v>
      </c>
      <c r="E537" s="10" t="s">
        <v>17</v>
      </c>
      <c r="F537" s="10" t="s">
        <v>1492</v>
      </c>
      <c r="G537" s="10" t="s">
        <v>1493</v>
      </c>
      <c r="H537" s="10" t="s">
        <v>1494</v>
      </c>
      <c r="I537" s="10" t="s">
        <v>21</v>
      </c>
      <c r="J537" s="10" t="s">
        <v>9</v>
      </c>
      <c r="K537" s="12">
        <v>46086.0</v>
      </c>
      <c r="L537" s="11" t="s">
        <v>1835</v>
      </c>
      <c r="M537" s="7" t="str">
        <f>IFERROR(__xludf.DUMMYFUNCTION("TEXT(
  IF(RIGHT(A537,2)=""mo"",
    EDATE(DATEVALUE(K537), -VALUE(REGEXEXTRACT(A537,""\d+""))),
    DATEVALUE(K537) - IF(RIGHT(A537,1)=""h"", VALUE(REGEXEXTRACT(A537,""\d+""))/24,
         IF(RIGHT(A537,1)=""d"", VALUE(REGEXEXTRACT(A537,""\d+"")),
      "&amp;"   IF(RIGHT(A537,1)=""w"", VALUE(REGEXEXTRACT(A537,""\d+""))*7,
         0)))
  )
, ""YYYY-M-D"")"),"2026-2-5")</f>
        <v>2026-2-5</v>
      </c>
    </row>
    <row r="538">
      <c r="A538" s="10" t="s">
        <v>321</v>
      </c>
      <c r="B538" s="10" t="s">
        <v>1438</v>
      </c>
      <c r="C538" s="10" t="s">
        <v>15</v>
      </c>
      <c r="D538" s="10" t="s">
        <v>16</v>
      </c>
      <c r="E538" s="10" t="s">
        <v>17</v>
      </c>
      <c r="F538" s="10" t="s">
        <v>1482</v>
      </c>
      <c r="G538" s="10" t="s">
        <v>1483</v>
      </c>
      <c r="H538" s="10" t="s">
        <v>1484</v>
      </c>
      <c r="I538" s="10" t="s">
        <v>1485</v>
      </c>
      <c r="J538" s="10" t="s">
        <v>9</v>
      </c>
      <c r="K538" s="12">
        <v>46086.0</v>
      </c>
      <c r="L538" s="11" t="s">
        <v>1835</v>
      </c>
      <c r="M538" s="7" t="str">
        <f>IFERROR(__xludf.DUMMYFUNCTION("TEXT(
  IF(RIGHT(A538,2)=""mo"",
    EDATE(DATEVALUE(K538), -VALUE(REGEXEXTRACT(A538,""\d+""))),
    DATEVALUE(K538) - IF(RIGHT(A538,1)=""h"", VALUE(REGEXEXTRACT(A538,""\d+""))/24,
         IF(RIGHT(A538,1)=""d"", VALUE(REGEXEXTRACT(A538,""\d+"")),
      "&amp;"   IF(RIGHT(A538,1)=""w"", VALUE(REGEXEXTRACT(A538,""\d+""))*7,
         0)))
  )
, ""YYYY-M-D"")"),"2026-2-12")</f>
        <v>2026-2-12</v>
      </c>
    </row>
    <row r="539">
      <c r="A539" s="10" t="s">
        <v>674</v>
      </c>
      <c r="B539" s="10" t="s">
        <v>1524</v>
      </c>
      <c r="C539" s="10" t="s">
        <v>15</v>
      </c>
      <c r="D539" s="10" t="s">
        <v>37</v>
      </c>
      <c r="E539" s="10" t="s">
        <v>17</v>
      </c>
      <c r="F539" s="10" t="s">
        <v>1313</v>
      </c>
      <c r="G539" s="10" t="s">
        <v>1525</v>
      </c>
      <c r="H539" s="10" t="s">
        <v>1526</v>
      </c>
      <c r="I539" s="10" t="s">
        <v>1527</v>
      </c>
      <c r="J539" s="10" t="s">
        <v>9</v>
      </c>
      <c r="K539" s="12">
        <v>46086.0</v>
      </c>
      <c r="L539" s="11" t="s">
        <v>1835</v>
      </c>
      <c r="M539" s="7" t="str">
        <f>IFERROR(__xludf.DUMMYFUNCTION("TEXT(
  IF(RIGHT(A539,2)=""mo"",
    EDATE(DATEVALUE(K539), -VALUE(REGEXEXTRACT(A539,""\d+""))),
    DATEVALUE(K539) - IF(RIGHT(A539,1)=""h"", VALUE(REGEXEXTRACT(A539,""\d+""))/24,
         IF(RIGHT(A539,1)=""d"", VALUE(REGEXEXTRACT(A539,""\d+"")),
      "&amp;"   IF(RIGHT(A539,1)=""w"", VALUE(REGEXEXTRACT(A539,""\d+""))*7,
         0)))
  )
, ""YYYY-M-D"")"),"2025-12-5")</f>
        <v>2025-12-5</v>
      </c>
    </row>
    <row r="540">
      <c r="A540" s="10" t="s">
        <v>321</v>
      </c>
      <c r="B540" s="10" t="s">
        <v>1861</v>
      </c>
      <c r="C540" s="10" t="s">
        <v>15</v>
      </c>
      <c r="D540" s="10" t="s">
        <v>44</v>
      </c>
      <c r="E540" s="10" t="s">
        <v>61</v>
      </c>
      <c r="F540" s="10" t="s">
        <v>1271</v>
      </c>
      <c r="G540" s="10" t="s">
        <v>1782</v>
      </c>
      <c r="H540" s="10" t="s">
        <v>1862</v>
      </c>
      <c r="I540" s="10" t="s">
        <v>1863</v>
      </c>
      <c r="J540" s="10" t="s">
        <v>9</v>
      </c>
      <c r="K540" s="12">
        <v>46086.0</v>
      </c>
      <c r="L540" s="11" t="s">
        <v>1835</v>
      </c>
      <c r="M540" s="7" t="str">
        <f>IFERROR(__xludf.DUMMYFUNCTION("TEXT(
  IF(RIGHT(A540,2)=""mo"",
    EDATE(DATEVALUE(K540), -VALUE(REGEXEXTRACT(A540,""\d+""))),
    DATEVALUE(K540) - IF(RIGHT(A540,1)=""h"", VALUE(REGEXEXTRACT(A540,""\d+""))/24,
         IF(RIGHT(A540,1)=""d"", VALUE(REGEXEXTRACT(A540,""\d+"")),
      "&amp;"   IF(RIGHT(A540,1)=""w"", VALUE(REGEXEXTRACT(A540,""\d+""))*7,
         0)))
  )
, ""YYYY-M-D"")"),"2026-2-12")</f>
        <v>2026-2-12</v>
      </c>
    </row>
    <row r="541">
      <c r="A541" s="10" t="s">
        <v>379</v>
      </c>
      <c r="B541" s="10" t="s">
        <v>1864</v>
      </c>
      <c r="C541" s="10" t="s">
        <v>1865</v>
      </c>
      <c r="D541" s="10" t="s">
        <v>44</v>
      </c>
      <c r="E541" s="10" t="s">
        <v>17</v>
      </c>
      <c r="F541" s="10" t="s">
        <v>275</v>
      </c>
      <c r="G541" s="10" t="s">
        <v>1866</v>
      </c>
      <c r="H541" s="10" t="s">
        <v>1867</v>
      </c>
      <c r="I541" s="10" t="s">
        <v>21</v>
      </c>
      <c r="J541" s="10" t="s">
        <v>9</v>
      </c>
      <c r="K541" s="12">
        <v>46086.0</v>
      </c>
      <c r="L541" s="11" t="s">
        <v>1835</v>
      </c>
      <c r="M541" s="7" t="str">
        <f>IFERROR(__xludf.DUMMYFUNCTION("TEXT(
  IF(RIGHT(A541,2)=""mo"",
    EDATE(DATEVALUE(K541), -VALUE(REGEXEXTRACT(A541,""\d+""))),
    DATEVALUE(K541) - IF(RIGHT(A541,1)=""h"", VALUE(REGEXEXTRACT(A541,""\d+""))/24,
         IF(RIGHT(A541,1)=""d"", VALUE(REGEXEXTRACT(A541,""\d+"")),
      "&amp;"   IF(RIGHT(A541,1)=""w"", VALUE(REGEXEXTRACT(A541,""\d+""))*7,
         0)))
  )
, ""YYYY-M-D"")"),"2026-2-5")</f>
        <v>2026-2-5</v>
      </c>
    </row>
    <row r="542">
      <c r="A542" s="10" t="s">
        <v>379</v>
      </c>
      <c r="B542" s="10" t="s">
        <v>1868</v>
      </c>
      <c r="C542" s="10" t="s">
        <v>15</v>
      </c>
      <c r="D542" s="10" t="s">
        <v>16</v>
      </c>
      <c r="E542" s="10" t="s">
        <v>17</v>
      </c>
      <c r="F542" s="10" t="s">
        <v>460</v>
      </c>
      <c r="G542" s="10" t="s">
        <v>461</v>
      </c>
      <c r="H542" s="10" t="s">
        <v>1869</v>
      </c>
      <c r="I542" s="10" t="s">
        <v>1870</v>
      </c>
      <c r="J542" s="10" t="s">
        <v>9</v>
      </c>
      <c r="K542" s="12">
        <v>46086.0</v>
      </c>
      <c r="L542" s="11" t="s">
        <v>1871</v>
      </c>
      <c r="M542" s="7" t="str">
        <f>IFERROR(__xludf.DUMMYFUNCTION("TEXT(
  IF(RIGHT(A542,2)=""mo"",
    EDATE(DATEVALUE(K542), -VALUE(REGEXEXTRACT(A542,""\d+""))),
    DATEVALUE(K542) - IF(RIGHT(A542,1)=""h"", VALUE(REGEXEXTRACT(A542,""\d+""))/24,
         IF(RIGHT(A542,1)=""d"", VALUE(REGEXEXTRACT(A542,""\d+"")),
      "&amp;"   IF(RIGHT(A542,1)=""w"", VALUE(REGEXEXTRACT(A542,""\d+""))*7,
         0)))
  )
, ""YYYY-M-D"")"),"2026-2-5")</f>
        <v>2026-2-5</v>
      </c>
    </row>
    <row r="543">
      <c r="A543" s="10" t="s">
        <v>674</v>
      </c>
      <c r="B543" s="10" t="s">
        <v>1872</v>
      </c>
      <c r="C543" s="10" t="s">
        <v>15</v>
      </c>
      <c r="D543" s="10" t="s">
        <v>44</v>
      </c>
      <c r="E543" s="10" t="s">
        <v>17</v>
      </c>
      <c r="F543" s="10" t="s">
        <v>357</v>
      </c>
      <c r="G543" s="10" t="s">
        <v>1412</v>
      </c>
      <c r="H543" s="10" t="s">
        <v>1873</v>
      </c>
      <c r="I543" s="10" t="s">
        <v>1874</v>
      </c>
      <c r="J543" s="10" t="s">
        <v>9</v>
      </c>
      <c r="K543" s="12">
        <v>46086.0</v>
      </c>
      <c r="L543" s="11" t="s">
        <v>1871</v>
      </c>
      <c r="M543" s="7" t="str">
        <f>IFERROR(__xludf.DUMMYFUNCTION("TEXT(
  IF(RIGHT(A543,2)=""mo"",
    EDATE(DATEVALUE(K543), -VALUE(REGEXEXTRACT(A543,""\d+""))),
    DATEVALUE(K543) - IF(RIGHT(A543,1)=""h"", VALUE(REGEXEXTRACT(A543,""\d+""))/24,
         IF(RIGHT(A543,1)=""d"", VALUE(REGEXEXTRACT(A543,""\d+"")),
      "&amp;"   IF(RIGHT(A543,1)=""w"", VALUE(REGEXEXTRACT(A543,""\d+""))*7,
         0)))
  )
, ""YYYY-M-D"")"),"2025-12-5")</f>
        <v>2025-12-5</v>
      </c>
    </row>
    <row r="544">
      <c r="A544" s="10" t="s">
        <v>239</v>
      </c>
      <c r="B544" s="10" t="s">
        <v>240</v>
      </c>
      <c r="C544" s="10" t="s">
        <v>15</v>
      </c>
      <c r="D544" s="10" t="s">
        <v>44</v>
      </c>
      <c r="E544" s="10" t="s">
        <v>17</v>
      </c>
      <c r="F544" s="10" t="s">
        <v>251</v>
      </c>
      <c r="G544" s="10" t="s">
        <v>252</v>
      </c>
      <c r="H544" s="10" t="s">
        <v>253</v>
      </c>
      <c r="I544" s="10" t="s">
        <v>254</v>
      </c>
      <c r="J544" s="10" t="s">
        <v>9</v>
      </c>
      <c r="K544" s="12">
        <v>46086.0</v>
      </c>
      <c r="L544" s="11" t="s">
        <v>1871</v>
      </c>
      <c r="M544" s="7" t="str">
        <f>IFERROR(__xludf.DUMMYFUNCTION("TEXT(
  IF(RIGHT(A544,2)=""mo"",
    EDATE(DATEVALUE(K544), -VALUE(REGEXEXTRACT(A544,""\d+""))),
    DATEVALUE(K544) - IF(RIGHT(A544,1)=""h"", VALUE(REGEXEXTRACT(A544,""\d+""))/24,
         IF(RIGHT(A544,1)=""d"", VALUE(REGEXEXTRACT(A544,""\d+"")),
      "&amp;"   IF(RIGHT(A544,1)=""w"", VALUE(REGEXEXTRACT(A544,""\d+""))*7,
         0)))
  )
, ""YYYY-M-D"")"),"2026-2-19")</f>
        <v>2026-2-19</v>
      </c>
    </row>
    <row r="545">
      <c r="A545" s="10" t="s">
        <v>239</v>
      </c>
      <c r="B545" s="10" t="s">
        <v>240</v>
      </c>
      <c r="C545" s="10" t="s">
        <v>15</v>
      </c>
      <c r="D545" s="10" t="s">
        <v>44</v>
      </c>
      <c r="E545" s="10" t="s">
        <v>17</v>
      </c>
      <c r="F545" s="10" t="s">
        <v>241</v>
      </c>
      <c r="G545" s="10" t="s">
        <v>967</v>
      </c>
      <c r="H545" s="10" t="s">
        <v>243</v>
      </c>
      <c r="I545" s="10" t="s">
        <v>244</v>
      </c>
      <c r="J545" s="10" t="s">
        <v>9</v>
      </c>
      <c r="K545" s="12">
        <v>46086.0</v>
      </c>
      <c r="L545" s="11" t="s">
        <v>1871</v>
      </c>
      <c r="M545" s="7" t="str">
        <f>IFERROR(__xludf.DUMMYFUNCTION("TEXT(
  IF(RIGHT(A545,2)=""mo"",
    EDATE(DATEVALUE(K545), -VALUE(REGEXEXTRACT(A545,""\d+""))),
    DATEVALUE(K545) - IF(RIGHT(A545,1)=""h"", VALUE(REGEXEXTRACT(A545,""\d+""))/24,
         IF(RIGHT(A545,1)=""d"", VALUE(REGEXEXTRACT(A545,""\d+"")),
      "&amp;"   IF(RIGHT(A545,1)=""w"", VALUE(REGEXEXTRACT(A545,""\d+""))*7,
         0)))
  )
, ""YYYY-M-D"")"),"2026-2-19")</f>
        <v>2026-2-19</v>
      </c>
    </row>
    <row r="546">
      <c r="A546" s="10" t="s">
        <v>581</v>
      </c>
      <c r="B546" s="10" t="s">
        <v>1828</v>
      </c>
      <c r="C546" s="10" t="s">
        <v>15</v>
      </c>
      <c r="D546" s="10" t="s">
        <v>16</v>
      </c>
      <c r="E546" s="10" t="s">
        <v>17</v>
      </c>
      <c r="F546" s="10" t="s">
        <v>806</v>
      </c>
      <c r="G546" s="10" t="s">
        <v>807</v>
      </c>
      <c r="H546" s="10" t="s">
        <v>1829</v>
      </c>
      <c r="I546" s="10" t="s">
        <v>1830</v>
      </c>
      <c r="J546" s="10" t="s">
        <v>9</v>
      </c>
      <c r="K546" s="12">
        <v>46086.0</v>
      </c>
      <c r="L546" s="11" t="s">
        <v>1871</v>
      </c>
      <c r="M546" s="7" t="str">
        <f>IFERROR(__xludf.DUMMYFUNCTION("TEXT(
  IF(RIGHT(A546,2)=""mo"",
    EDATE(DATEVALUE(K546), -VALUE(REGEXEXTRACT(A546,""\d+""))),
    DATEVALUE(K546) - IF(RIGHT(A546,1)=""h"", VALUE(REGEXEXTRACT(A546,""\d+""))/24,
         IF(RIGHT(A546,1)=""d"", VALUE(REGEXEXTRACT(A546,""\d+"")),
      "&amp;"   IF(RIGHT(A546,1)=""w"", VALUE(REGEXEXTRACT(A546,""\d+""))*7,
         0)))
  )
, ""YYYY-M-D"")"),"2026-1-5")</f>
        <v>2026-1-5</v>
      </c>
    </row>
    <row r="547">
      <c r="A547" s="10" t="s">
        <v>239</v>
      </c>
      <c r="B547" s="10" t="s">
        <v>1875</v>
      </c>
      <c r="C547" s="10" t="s">
        <v>15</v>
      </c>
      <c r="D547" s="10" t="s">
        <v>16</v>
      </c>
      <c r="E547" s="10" t="s">
        <v>17</v>
      </c>
      <c r="F547" s="10" t="s">
        <v>107</v>
      </c>
      <c r="G547" s="10" t="s">
        <v>1876</v>
      </c>
      <c r="H547" s="10" t="s">
        <v>1877</v>
      </c>
      <c r="I547" s="10" t="s">
        <v>1878</v>
      </c>
      <c r="J547" s="10" t="s">
        <v>9</v>
      </c>
      <c r="K547" s="12">
        <v>46086.0</v>
      </c>
      <c r="L547" s="11" t="s">
        <v>1871</v>
      </c>
      <c r="M547" s="7" t="str">
        <f>IFERROR(__xludf.DUMMYFUNCTION("TEXT(
  IF(RIGHT(A547,2)=""mo"",
    EDATE(DATEVALUE(K547), -VALUE(REGEXEXTRACT(A547,""\d+""))),
    DATEVALUE(K547) - IF(RIGHT(A547,1)=""h"", VALUE(REGEXEXTRACT(A547,""\d+""))/24,
         IF(RIGHT(A547,1)=""d"", VALUE(REGEXEXTRACT(A547,""\d+"")),
      "&amp;"   IF(RIGHT(A547,1)=""w"", VALUE(REGEXEXTRACT(A547,""\d+""))*7,
         0)))
  )
, ""YYYY-M-D"")"),"2026-2-19")</f>
        <v>2026-2-19</v>
      </c>
    </row>
    <row r="548">
      <c r="A548" s="10" t="s">
        <v>173</v>
      </c>
      <c r="B548" s="10" t="s">
        <v>167</v>
      </c>
      <c r="C548" s="10" t="s">
        <v>168</v>
      </c>
      <c r="D548" s="10" t="s">
        <v>44</v>
      </c>
      <c r="E548" s="10" t="s">
        <v>17</v>
      </c>
      <c r="F548" s="10" t="s">
        <v>169</v>
      </c>
      <c r="G548" s="10" t="s">
        <v>170</v>
      </c>
      <c r="H548" s="10" t="s">
        <v>171</v>
      </c>
      <c r="I548" s="10" t="s">
        <v>172</v>
      </c>
      <c r="J548" s="10" t="s">
        <v>9</v>
      </c>
      <c r="K548" s="12">
        <v>46086.0</v>
      </c>
      <c r="L548" s="11" t="s">
        <v>1871</v>
      </c>
      <c r="M548" s="7" t="str">
        <f>IFERROR(__xludf.DUMMYFUNCTION("TEXT(
  IF(RIGHT(A548,2)=""mo"",
    EDATE(DATEVALUE(K548), -VALUE(REGEXEXTRACT(A548,""\d+""))),
    DATEVALUE(K548) - IF(RIGHT(A548,1)=""h"", VALUE(REGEXEXTRACT(A548,""\d+""))/24,
         IF(RIGHT(A548,1)=""d"", VALUE(REGEXEXTRACT(A548,""\d+"")),
      "&amp;"   IF(RIGHT(A548,1)=""w"", VALUE(REGEXEXTRACT(A548,""\d+""))*7,
         0)))
  )
, ""YYYY-M-D"")"),"2026-2-26")</f>
        <v>2026-2-26</v>
      </c>
    </row>
    <row r="549">
      <c r="A549" s="10" t="s">
        <v>23</v>
      </c>
      <c r="B549" s="10" t="s">
        <v>1879</v>
      </c>
      <c r="C549" s="10" t="s">
        <v>15</v>
      </c>
      <c r="D549" s="10" t="s">
        <v>16</v>
      </c>
      <c r="E549" s="10" t="s">
        <v>17</v>
      </c>
      <c r="F549" s="10" t="s">
        <v>422</v>
      </c>
      <c r="G549" s="10" t="s">
        <v>1880</v>
      </c>
      <c r="H549" s="10" t="s">
        <v>1881</v>
      </c>
      <c r="I549" s="10" t="s">
        <v>1882</v>
      </c>
      <c r="J549" s="10" t="s">
        <v>9</v>
      </c>
      <c r="K549" s="12">
        <v>46086.0</v>
      </c>
      <c r="L549" s="11" t="s">
        <v>1871</v>
      </c>
      <c r="M549" s="7" t="str">
        <f>IFERROR(__xludf.DUMMYFUNCTION("TEXT(
  IF(RIGHT(A549,2)=""mo"",
    EDATE(DATEVALUE(K549), -VALUE(REGEXEXTRACT(A549,""\d+""))),
    DATEVALUE(K549) - IF(RIGHT(A549,1)=""h"", VALUE(REGEXEXTRACT(A549,""\d+""))/24,
         IF(RIGHT(A549,1)=""d"", VALUE(REGEXEXTRACT(A549,""\d+"")),
      "&amp;"   IF(RIGHT(A549,1)=""w"", VALUE(REGEXEXTRACT(A549,""\d+""))*7,
         0)))
  )
, ""YYYY-M-D"")"),"2026-3-4")</f>
        <v>2026-3-4</v>
      </c>
    </row>
    <row r="550">
      <c r="A550" s="10" t="s">
        <v>321</v>
      </c>
      <c r="B550" s="10" t="s">
        <v>315</v>
      </c>
      <c r="C550" s="10" t="s">
        <v>316</v>
      </c>
      <c r="D550" s="10" t="s">
        <v>16</v>
      </c>
      <c r="E550" s="10" t="s">
        <v>17</v>
      </c>
      <c r="F550" s="10" t="s">
        <v>317</v>
      </c>
      <c r="G550" s="10" t="s">
        <v>322</v>
      </c>
      <c r="H550" s="10" t="s">
        <v>323</v>
      </c>
      <c r="I550" s="10" t="s">
        <v>324</v>
      </c>
      <c r="J550" s="10" t="s">
        <v>9</v>
      </c>
      <c r="K550" s="12">
        <v>46086.0</v>
      </c>
      <c r="L550" s="11" t="s">
        <v>1871</v>
      </c>
      <c r="M550" s="7" t="str">
        <f>IFERROR(__xludf.DUMMYFUNCTION("TEXT(
  IF(RIGHT(A550,2)=""mo"",
    EDATE(DATEVALUE(K550), -VALUE(REGEXEXTRACT(A550,""\d+""))),
    DATEVALUE(K550) - IF(RIGHT(A550,1)=""h"", VALUE(REGEXEXTRACT(A550,""\d+""))/24,
         IF(RIGHT(A550,1)=""d"", VALUE(REGEXEXTRACT(A550,""\d+"")),
      "&amp;"   IF(RIGHT(A550,1)=""w"", VALUE(REGEXEXTRACT(A550,""\d+""))*7,
         0)))
  )
, ""YYYY-M-D"")"),"2026-2-12")</f>
        <v>2026-2-12</v>
      </c>
    </row>
    <row r="551">
      <c r="A551" s="10" t="s">
        <v>321</v>
      </c>
      <c r="B551" s="10" t="s">
        <v>315</v>
      </c>
      <c r="C551" s="10" t="s">
        <v>316</v>
      </c>
      <c r="D551" s="10" t="s">
        <v>16</v>
      </c>
      <c r="E551" s="10" t="s">
        <v>17</v>
      </c>
      <c r="F551" s="10" t="s">
        <v>317</v>
      </c>
      <c r="G551" s="10" t="s">
        <v>318</v>
      </c>
      <c r="H551" s="10" t="s">
        <v>319</v>
      </c>
      <c r="I551" s="10" t="s">
        <v>320</v>
      </c>
      <c r="J551" s="10" t="s">
        <v>9</v>
      </c>
      <c r="K551" s="12">
        <v>46086.0</v>
      </c>
      <c r="L551" s="11" t="s">
        <v>1871</v>
      </c>
      <c r="M551" s="7" t="str">
        <f>IFERROR(__xludf.DUMMYFUNCTION("TEXT(
  IF(RIGHT(A551,2)=""mo"",
    EDATE(DATEVALUE(K551), -VALUE(REGEXEXTRACT(A551,""\d+""))),
    DATEVALUE(K551) - IF(RIGHT(A551,1)=""h"", VALUE(REGEXEXTRACT(A551,""\d+""))/24,
         IF(RIGHT(A551,1)=""d"", VALUE(REGEXEXTRACT(A551,""\d+"")),
      "&amp;"   IF(RIGHT(A551,1)=""w"", VALUE(REGEXEXTRACT(A551,""\d+""))*7,
         0)))
  )
, ""YYYY-M-D"")"),"2026-2-12")</f>
        <v>2026-2-12</v>
      </c>
    </row>
    <row r="552">
      <c r="A552" s="10" t="s">
        <v>173</v>
      </c>
      <c r="B552" s="10" t="s">
        <v>1883</v>
      </c>
      <c r="C552" s="10" t="s">
        <v>90</v>
      </c>
      <c r="D552" s="10" t="s">
        <v>44</v>
      </c>
      <c r="E552" s="10" t="s">
        <v>17</v>
      </c>
      <c r="F552" s="10" t="s">
        <v>91</v>
      </c>
      <c r="G552" s="10" t="s">
        <v>879</v>
      </c>
      <c r="H552" s="10" t="s">
        <v>1884</v>
      </c>
      <c r="I552" s="10" t="s">
        <v>94</v>
      </c>
      <c r="J552" s="10" t="s">
        <v>9</v>
      </c>
      <c r="K552" s="12">
        <v>46086.0</v>
      </c>
      <c r="L552" s="11" t="s">
        <v>1871</v>
      </c>
      <c r="M552" s="7" t="str">
        <f>IFERROR(__xludf.DUMMYFUNCTION("TEXT(
  IF(RIGHT(A552,2)=""mo"",
    EDATE(DATEVALUE(K552), -VALUE(REGEXEXTRACT(A552,""\d+""))),
    DATEVALUE(K552) - IF(RIGHT(A552,1)=""h"", VALUE(REGEXEXTRACT(A552,""\d+""))/24,
         IF(RIGHT(A552,1)=""d"", VALUE(REGEXEXTRACT(A552,""\d+"")),
      "&amp;"   IF(RIGHT(A552,1)=""w"", VALUE(REGEXEXTRACT(A552,""\d+""))*7,
         0)))
  )
, ""YYYY-M-D"")"),"2026-2-26")</f>
        <v>2026-2-26</v>
      </c>
    </row>
    <row r="553">
      <c r="A553" s="10" t="s">
        <v>144</v>
      </c>
      <c r="B553" s="10" t="s">
        <v>49</v>
      </c>
      <c r="C553" s="10" t="s">
        <v>15</v>
      </c>
      <c r="D553" s="10" t="s">
        <v>16</v>
      </c>
      <c r="E553" s="10" t="s">
        <v>17</v>
      </c>
      <c r="F553" s="10" t="s">
        <v>50</v>
      </c>
      <c r="G553" s="10" t="s">
        <v>51</v>
      </c>
      <c r="H553" s="10" t="s">
        <v>52</v>
      </c>
      <c r="I553" s="10" t="s">
        <v>53</v>
      </c>
      <c r="J553" s="10" t="s">
        <v>9</v>
      </c>
      <c r="K553" s="12">
        <v>46086.0</v>
      </c>
      <c r="L553" s="11" t="s">
        <v>1871</v>
      </c>
      <c r="M553" s="7" t="str">
        <f>IFERROR(__xludf.DUMMYFUNCTION("TEXT(
  IF(RIGHT(A553,2)=""mo"",
    EDATE(DATEVALUE(K553), -VALUE(REGEXEXTRACT(A553,""\d+""))),
    DATEVALUE(K553) - IF(RIGHT(A553,1)=""h"", VALUE(REGEXEXTRACT(A553,""\d+""))/24,
         IF(RIGHT(A553,1)=""d"", VALUE(REGEXEXTRACT(A553,""\d+"")),
      "&amp;"   IF(RIGHT(A553,1)=""w"", VALUE(REGEXEXTRACT(A553,""\d+""))*7,
         0)))
  )
, ""YYYY-M-D"")"),"2026-2-27")</f>
        <v>2026-2-27</v>
      </c>
    </row>
    <row r="554">
      <c r="A554" s="10" t="s">
        <v>42</v>
      </c>
      <c r="B554" s="10" t="s">
        <v>937</v>
      </c>
      <c r="C554" s="10" t="s">
        <v>15</v>
      </c>
      <c r="D554" s="10" t="s">
        <v>44</v>
      </c>
      <c r="E554" s="10" t="s">
        <v>17</v>
      </c>
      <c r="F554" s="10" t="s">
        <v>938</v>
      </c>
      <c r="G554" s="10" t="s">
        <v>939</v>
      </c>
      <c r="H554" s="10" t="s">
        <v>940</v>
      </c>
      <c r="I554" s="10" t="s">
        <v>941</v>
      </c>
      <c r="J554" s="10" t="s">
        <v>9</v>
      </c>
      <c r="K554" s="12">
        <v>46086.0</v>
      </c>
      <c r="L554" s="11" t="s">
        <v>1871</v>
      </c>
      <c r="M554" s="7" t="str">
        <f>IFERROR(__xludf.DUMMYFUNCTION("TEXT(
  IF(RIGHT(A554,2)=""mo"",
    EDATE(DATEVALUE(K554), -VALUE(REGEXEXTRACT(A554,""\d+""))),
    DATEVALUE(K554) - IF(RIGHT(A554,1)=""h"", VALUE(REGEXEXTRACT(A554,""\d+""))/24,
         IF(RIGHT(A554,1)=""d"", VALUE(REGEXEXTRACT(A554,""\d+"")),
      "&amp;"   IF(RIGHT(A554,1)=""w"", VALUE(REGEXEXTRACT(A554,""\d+""))*7,
         0)))
  )
, ""YYYY-M-D"")"),"2026-3-2")</f>
        <v>2026-3-2</v>
      </c>
    </row>
    <row r="555">
      <c r="A555" s="10" t="s">
        <v>379</v>
      </c>
      <c r="B555" s="10" t="s">
        <v>818</v>
      </c>
      <c r="C555" s="10" t="s">
        <v>518</v>
      </c>
      <c r="D555" s="10" t="s">
        <v>16</v>
      </c>
      <c r="E555" s="10" t="s">
        <v>17</v>
      </c>
      <c r="F555" s="10" t="s">
        <v>482</v>
      </c>
      <c r="G555" s="10" t="s">
        <v>819</v>
      </c>
      <c r="H555" s="10" t="s">
        <v>820</v>
      </c>
      <c r="I555" s="10" t="s">
        <v>821</v>
      </c>
      <c r="J555" s="10" t="s">
        <v>9</v>
      </c>
      <c r="K555" s="12">
        <v>46086.0</v>
      </c>
      <c r="L555" s="11" t="s">
        <v>1871</v>
      </c>
      <c r="M555" s="7" t="str">
        <f>IFERROR(__xludf.DUMMYFUNCTION("TEXT(
  IF(RIGHT(A555,2)=""mo"",
    EDATE(DATEVALUE(K555), -VALUE(REGEXEXTRACT(A555,""\d+""))),
    DATEVALUE(K555) - IF(RIGHT(A555,1)=""h"", VALUE(REGEXEXTRACT(A555,""\d+""))/24,
         IF(RIGHT(A555,1)=""d"", VALUE(REGEXEXTRACT(A555,""\d+"")),
      "&amp;"   IF(RIGHT(A555,1)=""w"", VALUE(REGEXEXTRACT(A555,""\d+""))*7,
         0)))
  )
, ""YYYY-M-D"")"),"2026-2-5")</f>
        <v>2026-2-5</v>
      </c>
    </row>
    <row r="556">
      <c r="A556" s="10" t="s">
        <v>173</v>
      </c>
      <c r="B556" s="10" t="s">
        <v>1885</v>
      </c>
      <c r="C556" s="10" t="s">
        <v>15</v>
      </c>
      <c r="D556" s="10" t="s">
        <v>16</v>
      </c>
      <c r="E556" s="10" t="s">
        <v>17</v>
      </c>
      <c r="F556" s="10" t="s">
        <v>1886</v>
      </c>
      <c r="G556" s="10" t="s">
        <v>1887</v>
      </c>
      <c r="H556" s="10" t="s">
        <v>1888</v>
      </c>
      <c r="I556" s="10" t="s">
        <v>1889</v>
      </c>
      <c r="J556" s="10" t="s">
        <v>9</v>
      </c>
      <c r="K556" s="12">
        <v>46086.0</v>
      </c>
      <c r="L556" s="11" t="s">
        <v>1871</v>
      </c>
      <c r="M556" s="7" t="str">
        <f>IFERROR(__xludf.DUMMYFUNCTION("TEXT(
  IF(RIGHT(A556,2)=""mo"",
    EDATE(DATEVALUE(K556), -VALUE(REGEXEXTRACT(A556,""\d+""))),
    DATEVALUE(K556) - IF(RIGHT(A556,1)=""h"", VALUE(REGEXEXTRACT(A556,""\d+""))/24,
         IF(RIGHT(A556,1)=""d"", VALUE(REGEXEXTRACT(A556,""\d+"")),
      "&amp;"   IF(RIGHT(A556,1)=""w"", VALUE(REGEXEXTRACT(A556,""\d+""))*7,
         0)))
  )
, ""YYYY-M-D"")"),"2026-2-26")</f>
        <v>2026-2-26</v>
      </c>
    </row>
    <row r="557">
      <c r="A557" s="10" t="s">
        <v>23</v>
      </c>
      <c r="B557" s="10" t="s">
        <v>1890</v>
      </c>
      <c r="C557" s="10" t="s">
        <v>15</v>
      </c>
      <c r="D557" s="10" t="s">
        <v>16</v>
      </c>
      <c r="E557" s="10" t="s">
        <v>30</v>
      </c>
      <c r="F557" s="10" t="s">
        <v>1891</v>
      </c>
      <c r="G557" s="10" t="s">
        <v>1892</v>
      </c>
      <c r="H557" s="10" t="s">
        <v>1893</v>
      </c>
      <c r="I557" s="10" t="s">
        <v>1894</v>
      </c>
      <c r="J557" s="10" t="s">
        <v>9</v>
      </c>
      <c r="K557" s="12">
        <v>46086.0</v>
      </c>
      <c r="L557" s="11" t="s">
        <v>1871</v>
      </c>
      <c r="M557" s="7" t="str">
        <f>IFERROR(__xludf.DUMMYFUNCTION("TEXT(
  IF(RIGHT(A557,2)=""mo"",
    EDATE(DATEVALUE(K557), -VALUE(REGEXEXTRACT(A557,""\d+""))),
    DATEVALUE(K557) - IF(RIGHT(A557,1)=""h"", VALUE(REGEXEXTRACT(A557,""\d+""))/24,
         IF(RIGHT(A557,1)=""d"", VALUE(REGEXEXTRACT(A557,""\d+"")),
      "&amp;"   IF(RIGHT(A557,1)=""w"", VALUE(REGEXEXTRACT(A557,""\d+""))*7,
         0)))
  )
, ""YYYY-M-D"")"),"2026-3-4")</f>
        <v>2026-3-4</v>
      </c>
    </row>
    <row r="558">
      <c r="A558" s="10" t="s">
        <v>144</v>
      </c>
      <c r="B558" s="10" t="s">
        <v>1895</v>
      </c>
      <c r="C558" s="10" t="s">
        <v>1896</v>
      </c>
      <c r="D558" s="10" t="s">
        <v>37</v>
      </c>
      <c r="E558" s="10" t="s">
        <v>17</v>
      </c>
      <c r="F558" s="10" t="s">
        <v>1243</v>
      </c>
      <c r="G558" s="10" t="s">
        <v>1244</v>
      </c>
      <c r="H558" s="10" t="s">
        <v>1897</v>
      </c>
      <c r="I558" s="10" t="s">
        <v>1898</v>
      </c>
      <c r="J558" s="10" t="s">
        <v>9</v>
      </c>
      <c r="K558" s="12">
        <v>46086.0</v>
      </c>
      <c r="L558" s="11" t="s">
        <v>1871</v>
      </c>
      <c r="M558" s="7" t="str">
        <f>IFERROR(__xludf.DUMMYFUNCTION("TEXT(
  IF(RIGHT(A558,2)=""mo"",
    EDATE(DATEVALUE(K558), -VALUE(REGEXEXTRACT(A558,""\d+""))),
    DATEVALUE(K558) - IF(RIGHT(A558,1)=""h"", VALUE(REGEXEXTRACT(A558,""\d+""))/24,
         IF(RIGHT(A558,1)=""d"", VALUE(REGEXEXTRACT(A558,""\d+"")),
      "&amp;"   IF(RIGHT(A558,1)=""w"", VALUE(REGEXEXTRACT(A558,""\d+""))*7,
         0)))
  )
, ""YYYY-M-D"")"),"2026-2-27")</f>
        <v>2026-2-27</v>
      </c>
    </row>
    <row r="559">
      <c r="A559" s="10" t="s">
        <v>379</v>
      </c>
      <c r="B559" s="10" t="s">
        <v>1899</v>
      </c>
      <c r="C559" s="10" t="s">
        <v>15</v>
      </c>
      <c r="D559" s="10" t="s">
        <v>44</v>
      </c>
      <c r="E559" s="10" t="s">
        <v>17</v>
      </c>
      <c r="F559" s="10" t="s">
        <v>1900</v>
      </c>
      <c r="G559" s="10" t="s">
        <v>1901</v>
      </c>
      <c r="H559" s="10" t="s">
        <v>1902</v>
      </c>
      <c r="I559" s="10" t="s">
        <v>1903</v>
      </c>
      <c r="J559" s="10" t="s">
        <v>9</v>
      </c>
      <c r="K559" s="12">
        <v>46086.0</v>
      </c>
      <c r="L559" s="11" t="s">
        <v>1871</v>
      </c>
      <c r="M559" s="7" t="str">
        <f>IFERROR(__xludf.DUMMYFUNCTION("TEXT(
  IF(RIGHT(A559,2)=""mo"",
    EDATE(DATEVALUE(K559), -VALUE(REGEXEXTRACT(A559,""\d+""))),
    DATEVALUE(K559) - IF(RIGHT(A559,1)=""h"", VALUE(REGEXEXTRACT(A559,""\d+""))/24,
         IF(RIGHT(A559,1)=""d"", VALUE(REGEXEXTRACT(A559,""\d+"")),
      "&amp;"   IF(RIGHT(A559,1)=""w"", VALUE(REGEXEXTRACT(A559,""\d+""))*7,
         0)))
  )
, ""YYYY-M-D"")"),"2026-2-5")</f>
        <v>2026-2-5</v>
      </c>
    </row>
    <row r="560">
      <c r="A560" s="10" t="s">
        <v>370</v>
      </c>
      <c r="B560" s="10" t="s">
        <v>1904</v>
      </c>
      <c r="C560" s="10" t="s">
        <v>15</v>
      </c>
      <c r="D560" s="10" t="s">
        <v>44</v>
      </c>
      <c r="E560" s="10" t="s">
        <v>17</v>
      </c>
      <c r="F560" s="10" t="s">
        <v>1285</v>
      </c>
      <c r="G560" s="10" t="s">
        <v>1905</v>
      </c>
      <c r="H560" s="10" t="s">
        <v>1906</v>
      </c>
      <c r="I560" s="10" t="s">
        <v>1907</v>
      </c>
      <c r="J560" s="10" t="s">
        <v>9</v>
      </c>
      <c r="K560" s="12">
        <v>46086.0</v>
      </c>
      <c r="L560" s="11" t="s">
        <v>1871</v>
      </c>
      <c r="M560" s="7" t="str">
        <f>IFERROR(__xludf.DUMMYFUNCTION("TEXT(
  IF(RIGHT(A560,2)=""mo"",
    EDATE(DATEVALUE(K560), -VALUE(REGEXEXTRACT(A560,""\d+""))),
    DATEVALUE(K560) - IF(RIGHT(A560,1)=""h"", VALUE(REGEXEXTRACT(A560,""\d+""))/24,
         IF(RIGHT(A560,1)=""d"", VALUE(REGEXEXTRACT(A560,""\d+"")),
      "&amp;"   IF(RIGHT(A560,1)=""w"", VALUE(REGEXEXTRACT(A560,""\d+""))*7,
         0)))
  )
, ""YYYY-M-D"")"),"2026-2-5")</f>
        <v>2026-2-5</v>
      </c>
    </row>
    <row r="561">
      <c r="A561" s="10" t="s">
        <v>379</v>
      </c>
      <c r="B561" s="10" t="s">
        <v>1908</v>
      </c>
      <c r="C561" s="10" t="s">
        <v>15</v>
      </c>
      <c r="D561" s="10" t="s">
        <v>44</v>
      </c>
      <c r="E561" s="10" t="s">
        <v>17</v>
      </c>
      <c r="F561" s="10" t="s">
        <v>199</v>
      </c>
      <c r="G561" s="10" t="s">
        <v>1518</v>
      </c>
      <c r="H561" s="10" t="s">
        <v>1909</v>
      </c>
      <c r="I561" s="10" t="s">
        <v>1910</v>
      </c>
      <c r="J561" s="10" t="s">
        <v>9</v>
      </c>
      <c r="K561" s="12">
        <v>46086.0</v>
      </c>
      <c r="L561" s="11" t="s">
        <v>1871</v>
      </c>
      <c r="M561" s="7" t="str">
        <f>IFERROR(__xludf.DUMMYFUNCTION("TEXT(
  IF(RIGHT(A561,2)=""mo"",
    EDATE(DATEVALUE(K561), -VALUE(REGEXEXTRACT(A561,""\d+""))),
    DATEVALUE(K561) - IF(RIGHT(A561,1)=""h"", VALUE(REGEXEXTRACT(A561,""\d+""))/24,
         IF(RIGHT(A561,1)=""d"", VALUE(REGEXEXTRACT(A561,""\d+"")),
      "&amp;"   IF(RIGHT(A561,1)=""w"", VALUE(REGEXEXTRACT(A561,""\d+""))*7,
         0)))
  )
, ""YYYY-M-D"")"),"2026-2-5")</f>
        <v>2026-2-5</v>
      </c>
    </row>
    <row r="562">
      <c r="A562" s="10" t="s">
        <v>239</v>
      </c>
      <c r="B562" s="10" t="s">
        <v>1359</v>
      </c>
      <c r="C562" s="10" t="s">
        <v>1911</v>
      </c>
      <c r="D562" s="10" t="s">
        <v>16</v>
      </c>
      <c r="E562" s="10" t="s">
        <v>17</v>
      </c>
      <c r="F562" s="10" t="s">
        <v>1634</v>
      </c>
      <c r="G562" s="10" t="s">
        <v>1912</v>
      </c>
      <c r="H562" s="10" t="s">
        <v>1913</v>
      </c>
      <c r="I562" s="10" t="s">
        <v>1914</v>
      </c>
      <c r="J562" s="10" t="s">
        <v>9</v>
      </c>
      <c r="K562" s="12">
        <v>46086.0</v>
      </c>
      <c r="L562" s="11" t="s">
        <v>1871</v>
      </c>
      <c r="M562" s="7" t="str">
        <f>IFERROR(__xludf.DUMMYFUNCTION("TEXT(
  IF(RIGHT(A562,2)=""mo"",
    EDATE(DATEVALUE(K562), -VALUE(REGEXEXTRACT(A562,""\d+""))),
    DATEVALUE(K562) - IF(RIGHT(A562,1)=""h"", VALUE(REGEXEXTRACT(A562,""\d+""))/24,
         IF(RIGHT(A562,1)=""d"", VALUE(REGEXEXTRACT(A562,""\d+"")),
      "&amp;"   IF(RIGHT(A562,1)=""w"", VALUE(REGEXEXTRACT(A562,""\d+""))*7,
         0)))
  )
, ""YYYY-M-D"")"),"2026-2-19")</f>
        <v>2026-2-19</v>
      </c>
    </row>
    <row r="563">
      <c r="A563" s="10" t="s">
        <v>674</v>
      </c>
      <c r="B563" s="10" t="s">
        <v>1915</v>
      </c>
      <c r="C563" s="10" t="s">
        <v>15</v>
      </c>
      <c r="D563" s="10" t="s">
        <v>44</v>
      </c>
      <c r="E563" s="10" t="s">
        <v>17</v>
      </c>
      <c r="F563" s="10" t="s">
        <v>1916</v>
      </c>
      <c r="G563" s="10" t="s">
        <v>1917</v>
      </c>
      <c r="H563" s="10" t="s">
        <v>1918</v>
      </c>
      <c r="I563" s="10" t="s">
        <v>1919</v>
      </c>
      <c r="J563" s="10" t="s">
        <v>9</v>
      </c>
      <c r="K563" s="12">
        <v>46086.0</v>
      </c>
      <c r="L563" s="11" t="s">
        <v>1871</v>
      </c>
      <c r="M563" s="7" t="str">
        <f>IFERROR(__xludf.DUMMYFUNCTION("TEXT(
  IF(RIGHT(A563,2)=""mo"",
    EDATE(DATEVALUE(K563), -VALUE(REGEXEXTRACT(A563,""\d+""))),
    DATEVALUE(K563) - IF(RIGHT(A563,1)=""h"", VALUE(REGEXEXTRACT(A563,""\d+""))/24,
         IF(RIGHT(A563,1)=""d"", VALUE(REGEXEXTRACT(A563,""\d+"")),
      "&amp;"   IF(RIGHT(A563,1)=""w"", VALUE(REGEXEXTRACT(A563,""\d+""))*7,
         0)))
  )
, ""YYYY-M-D"")"),"2025-12-5")</f>
        <v>2025-12-5</v>
      </c>
    </row>
    <row r="564">
      <c r="A564" s="10" t="s">
        <v>581</v>
      </c>
      <c r="B564" s="10" t="s">
        <v>1920</v>
      </c>
      <c r="C564" s="10" t="s">
        <v>15</v>
      </c>
      <c r="D564" s="10" t="s">
        <v>16</v>
      </c>
      <c r="E564" s="10" t="s">
        <v>17</v>
      </c>
      <c r="F564" s="10" t="s">
        <v>608</v>
      </c>
      <c r="G564" s="10" t="s">
        <v>609</v>
      </c>
      <c r="H564" s="10" t="s">
        <v>1921</v>
      </c>
      <c r="I564" s="10" t="s">
        <v>1922</v>
      </c>
      <c r="J564" s="10" t="s">
        <v>9</v>
      </c>
      <c r="K564" s="12">
        <v>46086.0</v>
      </c>
      <c r="L564" s="11" t="s">
        <v>1871</v>
      </c>
      <c r="M564" s="7" t="str">
        <f>IFERROR(__xludf.DUMMYFUNCTION("TEXT(
  IF(RIGHT(A564,2)=""mo"",
    EDATE(DATEVALUE(K564), -VALUE(REGEXEXTRACT(A564,""\d+""))),
    DATEVALUE(K564) - IF(RIGHT(A564,1)=""h"", VALUE(REGEXEXTRACT(A564,""\d+""))/24,
         IF(RIGHT(A564,1)=""d"", VALUE(REGEXEXTRACT(A564,""\d+"")),
      "&amp;"   IF(RIGHT(A564,1)=""w"", VALUE(REGEXEXTRACT(A564,""\d+""))*7,
         0)))
  )
, ""YYYY-M-D"")"),"2026-1-5")</f>
        <v>2026-1-5</v>
      </c>
    </row>
    <row r="565">
      <c r="A565" s="10" t="s">
        <v>674</v>
      </c>
      <c r="B565" s="10" t="s">
        <v>1923</v>
      </c>
      <c r="C565" s="10" t="s">
        <v>15</v>
      </c>
      <c r="D565" s="10" t="s">
        <v>16</v>
      </c>
      <c r="E565" s="10" t="s">
        <v>17</v>
      </c>
      <c r="F565" s="10" t="s">
        <v>82</v>
      </c>
      <c r="G565" s="10" t="s">
        <v>86</v>
      </c>
      <c r="H565" s="10" t="s">
        <v>1924</v>
      </c>
      <c r="I565" s="10" t="s">
        <v>1925</v>
      </c>
      <c r="J565" s="10" t="s">
        <v>9</v>
      </c>
      <c r="K565" s="12">
        <v>46086.0</v>
      </c>
      <c r="L565" s="11" t="s">
        <v>1871</v>
      </c>
      <c r="M565" s="7" t="str">
        <f>IFERROR(__xludf.DUMMYFUNCTION("TEXT(
  IF(RIGHT(A565,2)=""mo"",
    EDATE(DATEVALUE(K565), -VALUE(REGEXEXTRACT(A565,""\d+""))),
    DATEVALUE(K565) - IF(RIGHT(A565,1)=""h"", VALUE(REGEXEXTRACT(A565,""\d+""))/24,
         IF(RIGHT(A565,1)=""d"", VALUE(REGEXEXTRACT(A565,""\d+"")),
      "&amp;"   IF(RIGHT(A565,1)=""w"", VALUE(REGEXEXTRACT(A565,""\d+""))*7,
         0)))
  )
, ""YYYY-M-D"")"),"2025-12-5")</f>
        <v>2025-12-5</v>
      </c>
    </row>
    <row r="566">
      <c r="A566" s="10" t="s">
        <v>581</v>
      </c>
      <c r="B566" s="10" t="s">
        <v>1231</v>
      </c>
      <c r="C566" s="10" t="s">
        <v>15</v>
      </c>
      <c r="D566" s="10" t="s">
        <v>44</v>
      </c>
      <c r="E566" s="10" t="s">
        <v>17</v>
      </c>
      <c r="F566" s="10" t="s">
        <v>1232</v>
      </c>
      <c r="G566" s="10" t="s">
        <v>1233</v>
      </c>
      <c r="H566" s="10" t="s">
        <v>1234</v>
      </c>
      <c r="I566" s="10" t="s">
        <v>1235</v>
      </c>
      <c r="J566" s="10" t="s">
        <v>9</v>
      </c>
      <c r="K566" s="12">
        <v>46086.0</v>
      </c>
      <c r="L566" s="11" t="s">
        <v>1871</v>
      </c>
      <c r="M566" s="7" t="str">
        <f>IFERROR(__xludf.DUMMYFUNCTION("TEXT(
  IF(RIGHT(A566,2)=""mo"",
    EDATE(DATEVALUE(K566), -VALUE(REGEXEXTRACT(A566,""\d+""))),
    DATEVALUE(K566) - IF(RIGHT(A566,1)=""h"", VALUE(REGEXEXTRACT(A566,""\d+""))/24,
         IF(RIGHT(A566,1)=""d"", VALUE(REGEXEXTRACT(A566,""\d+"")),
      "&amp;"   IF(RIGHT(A566,1)=""w"", VALUE(REGEXEXTRACT(A566,""\d+""))*7,
         0)))
  )
, ""YYYY-M-D"")"),"2026-1-5")</f>
        <v>2026-1-5</v>
      </c>
    </row>
    <row r="567">
      <c r="A567" s="10" t="s">
        <v>379</v>
      </c>
      <c r="B567" s="10" t="s">
        <v>1926</v>
      </c>
      <c r="C567" s="10" t="s">
        <v>1927</v>
      </c>
      <c r="D567" s="10" t="s">
        <v>16</v>
      </c>
      <c r="E567" s="10" t="s">
        <v>17</v>
      </c>
      <c r="F567" s="10" t="s">
        <v>1928</v>
      </c>
      <c r="G567" s="10" t="s">
        <v>1929</v>
      </c>
      <c r="H567" s="10" t="s">
        <v>1930</v>
      </c>
      <c r="I567" s="10" t="s">
        <v>1931</v>
      </c>
      <c r="J567" s="10" t="s">
        <v>9</v>
      </c>
      <c r="K567" s="12">
        <v>46086.0</v>
      </c>
      <c r="L567" s="11" t="s">
        <v>1871</v>
      </c>
      <c r="M567" s="7" t="str">
        <f>IFERROR(__xludf.DUMMYFUNCTION("TEXT(
  IF(RIGHT(A567,2)=""mo"",
    EDATE(DATEVALUE(K567), -VALUE(REGEXEXTRACT(A567,""\d+""))),
    DATEVALUE(K567) - IF(RIGHT(A567,1)=""h"", VALUE(REGEXEXTRACT(A567,""\d+""))/24,
         IF(RIGHT(A567,1)=""d"", VALUE(REGEXEXTRACT(A567,""\d+"")),
      "&amp;"   IF(RIGHT(A567,1)=""w"", VALUE(REGEXEXTRACT(A567,""\d+""))*7,
         0)))
  )
, ""YYYY-M-D"")"),"2026-2-5")</f>
        <v>2026-2-5</v>
      </c>
    </row>
    <row r="568">
      <c r="A568" s="10" t="s">
        <v>379</v>
      </c>
      <c r="B568" s="10" t="s">
        <v>1932</v>
      </c>
      <c r="C568" s="10" t="s">
        <v>15</v>
      </c>
      <c r="D568" s="10" t="s">
        <v>44</v>
      </c>
      <c r="E568" s="10" t="s">
        <v>17</v>
      </c>
      <c r="F568" s="10" t="s">
        <v>152</v>
      </c>
      <c r="G568" s="10" t="s">
        <v>153</v>
      </c>
      <c r="H568" s="10" t="s">
        <v>1933</v>
      </c>
      <c r="I568" s="10" t="s">
        <v>1934</v>
      </c>
      <c r="J568" s="10" t="s">
        <v>9</v>
      </c>
      <c r="K568" s="12">
        <v>46086.0</v>
      </c>
      <c r="L568" s="11" t="s">
        <v>1871</v>
      </c>
      <c r="M568" s="7" t="str">
        <f>IFERROR(__xludf.DUMMYFUNCTION("TEXT(
  IF(RIGHT(A568,2)=""mo"",
    EDATE(DATEVALUE(K568), -VALUE(REGEXEXTRACT(A568,""\d+""))),
    DATEVALUE(K568) - IF(RIGHT(A568,1)=""h"", VALUE(REGEXEXTRACT(A568,""\d+""))/24,
         IF(RIGHT(A568,1)=""d"", VALUE(REGEXEXTRACT(A568,""\d+"")),
      "&amp;"   IF(RIGHT(A568,1)=""w"", VALUE(REGEXEXTRACT(A568,""\d+""))*7,
         0)))
  )
, ""YYYY-M-D"")"),"2026-2-5")</f>
        <v>2026-2-5</v>
      </c>
    </row>
    <row r="569">
      <c r="A569" s="10" t="s">
        <v>173</v>
      </c>
      <c r="B569" s="10" t="s">
        <v>1935</v>
      </c>
      <c r="C569" s="10" t="s">
        <v>691</v>
      </c>
      <c r="D569" s="10" t="s">
        <v>16</v>
      </c>
      <c r="E569" s="10" t="s">
        <v>17</v>
      </c>
      <c r="F569" s="10" t="s">
        <v>692</v>
      </c>
      <c r="G569" s="10" t="s">
        <v>693</v>
      </c>
      <c r="H569" s="10" t="s">
        <v>1936</v>
      </c>
      <c r="I569" s="10" t="s">
        <v>1937</v>
      </c>
      <c r="J569" s="10" t="s">
        <v>9</v>
      </c>
      <c r="K569" s="12">
        <v>46086.0</v>
      </c>
      <c r="L569" s="11" t="s">
        <v>1871</v>
      </c>
      <c r="M569" s="7" t="str">
        <f>IFERROR(__xludf.DUMMYFUNCTION("TEXT(
  IF(RIGHT(A569,2)=""mo"",
    EDATE(DATEVALUE(K569), -VALUE(REGEXEXTRACT(A569,""\d+""))),
    DATEVALUE(K569) - IF(RIGHT(A569,1)=""h"", VALUE(REGEXEXTRACT(A569,""\d+""))/24,
         IF(RIGHT(A569,1)=""d"", VALUE(REGEXEXTRACT(A569,""\d+"")),
      "&amp;"   IF(RIGHT(A569,1)=""w"", VALUE(REGEXEXTRACT(A569,""\d+""))*7,
         0)))
  )
, ""YYYY-M-D"")"),"2026-2-26")</f>
        <v>2026-2-26</v>
      </c>
    </row>
    <row r="570">
      <c r="A570" s="10" t="s">
        <v>674</v>
      </c>
      <c r="B570" s="10" t="s">
        <v>1938</v>
      </c>
      <c r="C570" s="10" t="s">
        <v>15</v>
      </c>
      <c r="D570" s="10" t="s">
        <v>44</v>
      </c>
      <c r="E570" s="10" t="s">
        <v>17</v>
      </c>
      <c r="F570" s="10" t="s">
        <v>229</v>
      </c>
      <c r="G570" s="10" t="s">
        <v>230</v>
      </c>
      <c r="H570" s="10" t="s">
        <v>1939</v>
      </c>
      <c r="I570" s="10" t="s">
        <v>1940</v>
      </c>
      <c r="J570" s="10" t="s">
        <v>9</v>
      </c>
      <c r="K570" s="12">
        <v>46086.0</v>
      </c>
      <c r="L570" s="11" t="s">
        <v>1871</v>
      </c>
      <c r="M570" s="7" t="str">
        <f>IFERROR(__xludf.DUMMYFUNCTION("TEXT(
  IF(RIGHT(A570,2)=""mo"",
    EDATE(DATEVALUE(K570), -VALUE(REGEXEXTRACT(A570,""\d+""))),
    DATEVALUE(K570) - IF(RIGHT(A570,1)=""h"", VALUE(REGEXEXTRACT(A570,""\d+""))/24,
         IF(RIGHT(A570,1)=""d"", VALUE(REGEXEXTRACT(A570,""\d+"")),
      "&amp;"   IF(RIGHT(A570,1)=""w"", VALUE(REGEXEXTRACT(A570,""\d+""))*7,
         0)))
  )
, ""YYYY-M-D"")"),"2025-12-5")</f>
        <v>2025-12-5</v>
      </c>
    </row>
    <row r="571">
      <c r="A571" s="10" t="s">
        <v>379</v>
      </c>
      <c r="B571" s="10" t="s">
        <v>1941</v>
      </c>
      <c r="C571" s="10" t="s">
        <v>15</v>
      </c>
      <c r="D571" s="10" t="s">
        <v>16</v>
      </c>
      <c r="E571" s="10" t="s">
        <v>17</v>
      </c>
      <c r="F571" s="10" t="s">
        <v>1942</v>
      </c>
      <c r="G571" s="10" t="s">
        <v>1943</v>
      </c>
      <c r="H571" s="10" t="s">
        <v>1944</v>
      </c>
      <c r="I571" s="10" t="s">
        <v>160</v>
      </c>
      <c r="J571" s="10" t="s">
        <v>9</v>
      </c>
      <c r="K571" s="12">
        <v>46086.0</v>
      </c>
      <c r="L571" s="11" t="s">
        <v>1871</v>
      </c>
      <c r="M571" s="7" t="str">
        <f>IFERROR(__xludf.DUMMYFUNCTION("TEXT(
  IF(RIGHT(A571,2)=""mo"",
    EDATE(DATEVALUE(K571), -VALUE(REGEXEXTRACT(A571,""\d+""))),
    DATEVALUE(K571) - IF(RIGHT(A571,1)=""h"", VALUE(REGEXEXTRACT(A571,""\d+""))/24,
         IF(RIGHT(A571,1)=""d"", VALUE(REGEXEXTRACT(A571,""\d+"")),
      "&amp;"   IF(RIGHT(A571,1)=""w"", VALUE(REGEXEXTRACT(A571,""\d+""))*7,
         0)))
  )
, ""YYYY-M-D"")"),"2026-2-5")</f>
        <v>2026-2-5</v>
      </c>
    </row>
    <row r="572">
      <c r="A572" s="10" t="s">
        <v>173</v>
      </c>
      <c r="B572" s="10" t="s">
        <v>1384</v>
      </c>
      <c r="C572" s="10" t="s">
        <v>234</v>
      </c>
      <c r="D572" s="10" t="s">
        <v>16</v>
      </c>
      <c r="E572" s="10" t="s">
        <v>421</v>
      </c>
      <c r="F572" s="10" t="s">
        <v>1385</v>
      </c>
      <c r="G572" s="10" t="s">
        <v>1945</v>
      </c>
      <c r="H572" s="10" t="s">
        <v>1387</v>
      </c>
      <c r="I572" s="10" t="s">
        <v>1388</v>
      </c>
      <c r="J572" s="10" t="s">
        <v>9</v>
      </c>
      <c r="K572" s="12">
        <v>46086.0</v>
      </c>
      <c r="L572" s="11" t="s">
        <v>1871</v>
      </c>
      <c r="M572" s="7" t="str">
        <f>IFERROR(__xludf.DUMMYFUNCTION("TEXT(
  IF(RIGHT(A572,2)=""mo"",
    EDATE(DATEVALUE(K572), -VALUE(REGEXEXTRACT(A572,""\d+""))),
    DATEVALUE(K572) - IF(RIGHT(A572,1)=""h"", VALUE(REGEXEXTRACT(A572,""\d+""))/24,
         IF(RIGHT(A572,1)=""d"", VALUE(REGEXEXTRACT(A572,""\d+"")),
      "&amp;"   IF(RIGHT(A572,1)=""w"", VALUE(REGEXEXTRACT(A572,""\d+""))*7,
         0)))
  )
, ""YYYY-M-D"")"),"2026-2-26")</f>
        <v>2026-2-26</v>
      </c>
    </row>
    <row r="573">
      <c r="A573" s="10" t="s">
        <v>379</v>
      </c>
      <c r="B573" s="10" t="s">
        <v>1946</v>
      </c>
      <c r="C573" s="10" t="s">
        <v>15</v>
      </c>
      <c r="D573" s="10" t="s">
        <v>44</v>
      </c>
      <c r="E573" s="10" t="s">
        <v>17</v>
      </c>
      <c r="F573" s="10" t="s">
        <v>1947</v>
      </c>
      <c r="G573" s="10" t="s">
        <v>1948</v>
      </c>
      <c r="H573" s="10" t="s">
        <v>1949</v>
      </c>
      <c r="I573" s="10" t="s">
        <v>1950</v>
      </c>
      <c r="J573" s="10" t="s">
        <v>9</v>
      </c>
      <c r="K573" s="12">
        <v>46086.0</v>
      </c>
      <c r="L573" s="11" t="s">
        <v>1871</v>
      </c>
      <c r="M573" s="7" t="str">
        <f>IFERROR(__xludf.DUMMYFUNCTION("TEXT(
  IF(RIGHT(A573,2)=""mo"",
    EDATE(DATEVALUE(K573), -VALUE(REGEXEXTRACT(A573,""\d+""))),
    DATEVALUE(K573) - IF(RIGHT(A573,1)=""h"", VALUE(REGEXEXTRACT(A573,""\d+""))/24,
         IF(RIGHT(A573,1)=""d"", VALUE(REGEXEXTRACT(A573,""\d+"")),
      "&amp;"   IF(RIGHT(A573,1)=""w"", VALUE(REGEXEXTRACT(A573,""\d+""))*7,
         0)))
  )
, ""YYYY-M-D"")"),"2026-2-5")</f>
        <v>2026-2-5</v>
      </c>
    </row>
    <row r="574">
      <c r="A574" s="10" t="s">
        <v>379</v>
      </c>
      <c r="B574" s="10" t="s">
        <v>1951</v>
      </c>
      <c r="C574" s="10" t="s">
        <v>15</v>
      </c>
      <c r="D574" s="10" t="s">
        <v>16</v>
      </c>
      <c r="E574" s="10" t="s">
        <v>17</v>
      </c>
      <c r="F574" s="10" t="s">
        <v>130</v>
      </c>
      <c r="G574" s="10" t="s">
        <v>131</v>
      </c>
      <c r="H574" s="10" t="s">
        <v>1952</v>
      </c>
      <c r="I574" s="10" t="s">
        <v>1953</v>
      </c>
      <c r="J574" s="10" t="s">
        <v>9</v>
      </c>
      <c r="K574" s="12">
        <v>46086.0</v>
      </c>
      <c r="L574" s="11" t="s">
        <v>1871</v>
      </c>
      <c r="M574" s="7" t="str">
        <f>IFERROR(__xludf.DUMMYFUNCTION("TEXT(
  IF(RIGHT(A574,2)=""mo"",
    EDATE(DATEVALUE(K574), -VALUE(REGEXEXTRACT(A574,""\d+""))),
    DATEVALUE(K574) - IF(RIGHT(A574,1)=""h"", VALUE(REGEXEXTRACT(A574,""\d+""))/24,
         IF(RIGHT(A574,1)=""d"", VALUE(REGEXEXTRACT(A574,""\d+"")),
      "&amp;"   IF(RIGHT(A574,1)=""w"", VALUE(REGEXEXTRACT(A574,""\d+""))*7,
         0)))
  )
, ""YYYY-M-D"")"),"2026-2-5")</f>
        <v>2026-2-5</v>
      </c>
    </row>
    <row r="575">
      <c r="A575" s="10" t="s">
        <v>379</v>
      </c>
      <c r="B575" s="10" t="s">
        <v>1954</v>
      </c>
      <c r="C575" s="10" t="s">
        <v>15</v>
      </c>
      <c r="D575" s="10" t="s">
        <v>44</v>
      </c>
      <c r="E575" s="10" t="s">
        <v>17</v>
      </c>
      <c r="F575" s="10" t="s">
        <v>219</v>
      </c>
      <c r="G575" s="10" t="s">
        <v>220</v>
      </c>
      <c r="H575" s="10" t="s">
        <v>1955</v>
      </c>
      <c r="I575" s="10" t="s">
        <v>1956</v>
      </c>
      <c r="J575" s="10" t="s">
        <v>9</v>
      </c>
      <c r="K575" s="12">
        <v>46086.0</v>
      </c>
      <c r="L575" s="11" t="s">
        <v>1871</v>
      </c>
      <c r="M575" s="7" t="str">
        <f>IFERROR(__xludf.DUMMYFUNCTION("TEXT(
  IF(RIGHT(A575,2)=""mo"",
    EDATE(DATEVALUE(K575), -VALUE(REGEXEXTRACT(A575,""\d+""))),
    DATEVALUE(K575) - IF(RIGHT(A575,1)=""h"", VALUE(REGEXEXTRACT(A575,""\d+""))/24,
         IF(RIGHT(A575,1)=""d"", VALUE(REGEXEXTRACT(A575,""\d+"")),
      "&amp;"   IF(RIGHT(A575,1)=""w"", VALUE(REGEXEXTRACT(A575,""\d+""))*7,
         0)))
  )
, ""YYYY-M-D"")"),"2026-2-5")</f>
        <v>2026-2-5</v>
      </c>
    </row>
    <row r="576">
      <c r="A576" s="10" t="s">
        <v>173</v>
      </c>
      <c r="B576" s="10" t="s">
        <v>1957</v>
      </c>
      <c r="C576" s="10" t="s">
        <v>15</v>
      </c>
      <c r="D576" s="10" t="s">
        <v>16</v>
      </c>
      <c r="E576" s="10" t="s">
        <v>17</v>
      </c>
      <c r="F576" s="10" t="s">
        <v>1147</v>
      </c>
      <c r="G576" s="10" t="s">
        <v>1148</v>
      </c>
      <c r="H576" s="10" t="s">
        <v>1958</v>
      </c>
      <c r="I576" s="10" t="s">
        <v>1959</v>
      </c>
      <c r="J576" s="10" t="s">
        <v>9</v>
      </c>
      <c r="K576" s="12">
        <v>46086.0</v>
      </c>
      <c r="L576" s="11" t="s">
        <v>1871</v>
      </c>
      <c r="M576" s="7" t="str">
        <f>IFERROR(__xludf.DUMMYFUNCTION("TEXT(
  IF(RIGHT(A576,2)=""mo"",
    EDATE(DATEVALUE(K576), -VALUE(REGEXEXTRACT(A576,""\d+""))),
    DATEVALUE(K576) - IF(RIGHT(A576,1)=""h"", VALUE(REGEXEXTRACT(A576,""\d+""))/24,
         IF(RIGHT(A576,1)=""d"", VALUE(REGEXEXTRACT(A576,""\d+"")),
      "&amp;"   IF(RIGHT(A576,1)=""w"", VALUE(REGEXEXTRACT(A576,""\d+""))*7,
         0)))
  )
, ""YYYY-M-D"")"),"2026-2-26")</f>
        <v>2026-2-26</v>
      </c>
    </row>
    <row r="577">
      <c r="A577" s="10" t="s">
        <v>674</v>
      </c>
      <c r="B577" s="10" t="s">
        <v>1960</v>
      </c>
      <c r="C577" s="10" t="s">
        <v>15</v>
      </c>
      <c r="D577" s="10" t="s">
        <v>16</v>
      </c>
      <c r="E577" s="10" t="s">
        <v>17</v>
      </c>
      <c r="F577" s="10" t="s">
        <v>890</v>
      </c>
      <c r="G577" s="10" t="s">
        <v>891</v>
      </c>
      <c r="H577" s="10" t="s">
        <v>1961</v>
      </c>
      <c r="I577" s="10" t="s">
        <v>1962</v>
      </c>
      <c r="J577" s="10" t="s">
        <v>9</v>
      </c>
      <c r="K577" s="12">
        <v>46086.0</v>
      </c>
      <c r="L577" s="11" t="s">
        <v>1871</v>
      </c>
      <c r="M577" s="7" t="str">
        <f>IFERROR(__xludf.DUMMYFUNCTION("TEXT(
  IF(RIGHT(A577,2)=""mo"",
    EDATE(DATEVALUE(K577), -VALUE(REGEXEXTRACT(A577,""\d+""))),
    DATEVALUE(K577) - IF(RIGHT(A577,1)=""h"", VALUE(REGEXEXTRACT(A577,""\d+""))/24,
         IF(RIGHT(A577,1)=""d"", VALUE(REGEXEXTRACT(A577,""\d+"")),
      "&amp;"   IF(RIGHT(A577,1)=""w"", VALUE(REGEXEXTRACT(A577,""\d+""))*7,
         0)))
  )
, ""YYYY-M-D"")"),"2025-12-5")</f>
        <v>2025-12-5</v>
      </c>
    </row>
    <row r="578">
      <c r="A578" s="10" t="s">
        <v>173</v>
      </c>
      <c r="B578" s="10" t="s">
        <v>156</v>
      </c>
      <c r="C578" s="10" t="s">
        <v>15</v>
      </c>
      <c r="D578" s="10" t="s">
        <v>16</v>
      </c>
      <c r="E578" s="10" t="s">
        <v>17</v>
      </c>
      <c r="F578" s="10" t="s">
        <v>157</v>
      </c>
      <c r="G578" s="10" t="s">
        <v>158</v>
      </c>
      <c r="H578" s="10" t="s">
        <v>159</v>
      </c>
      <c r="I578" s="10" t="s">
        <v>160</v>
      </c>
      <c r="J578" s="10" t="s">
        <v>9</v>
      </c>
      <c r="K578" s="12">
        <v>46086.0</v>
      </c>
      <c r="L578" s="11" t="s">
        <v>1871</v>
      </c>
      <c r="M578" s="7" t="str">
        <f>IFERROR(__xludf.DUMMYFUNCTION("TEXT(
  IF(RIGHT(A578,2)=""mo"",
    EDATE(DATEVALUE(K578), -VALUE(REGEXEXTRACT(A578,""\d+""))),
    DATEVALUE(K578) - IF(RIGHT(A578,1)=""h"", VALUE(REGEXEXTRACT(A578,""\d+""))/24,
         IF(RIGHT(A578,1)=""d"", VALUE(REGEXEXTRACT(A578,""\d+"")),
      "&amp;"   IF(RIGHT(A578,1)=""w"", VALUE(REGEXEXTRACT(A578,""\d+""))*7,
         0)))
  )
, ""YYYY-M-D"")"),"2026-2-26")</f>
        <v>2026-2-26</v>
      </c>
    </row>
    <row r="579">
      <c r="A579" s="10" t="s">
        <v>581</v>
      </c>
      <c r="B579" s="10" t="s">
        <v>598</v>
      </c>
      <c r="C579" s="10" t="s">
        <v>15</v>
      </c>
      <c r="D579" s="10" t="s">
        <v>44</v>
      </c>
      <c r="E579" s="10" t="s">
        <v>421</v>
      </c>
      <c r="F579" s="10" t="s">
        <v>599</v>
      </c>
      <c r="G579" s="10" t="s">
        <v>600</v>
      </c>
      <c r="H579" s="10" t="s">
        <v>601</v>
      </c>
      <c r="I579" s="10" t="s">
        <v>602</v>
      </c>
      <c r="J579" s="10" t="s">
        <v>9</v>
      </c>
      <c r="K579" s="12">
        <v>46086.0</v>
      </c>
      <c r="L579" s="11" t="s">
        <v>1871</v>
      </c>
      <c r="M579" s="7" t="str">
        <f>IFERROR(__xludf.DUMMYFUNCTION("TEXT(
  IF(RIGHT(A579,2)=""mo"",
    EDATE(DATEVALUE(K579), -VALUE(REGEXEXTRACT(A579,""\d+""))),
    DATEVALUE(K579) - IF(RIGHT(A579,1)=""h"", VALUE(REGEXEXTRACT(A579,""\d+""))/24,
         IF(RIGHT(A579,1)=""d"", VALUE(REGEXEXTRACT(A579,""\d+"")),
      "&amp;"   IF(RIGHT(A579,1)=""w"", VALUE(REGEXEXTRACT(A579,""\d+""))*7,
         0)))
  )
, ""YYYY-M-D"")"),"2026-1-5")</f>
        <v>2026-1-5</v>
      </c>
    </row>
    <row r="580">
      <c r="A580" s="10" t="s">
        <v>674</v>
      </c>
      <c r="B580" s="10" t="s">
        <v>685</v>
      </c>
      <c r="C580" s="10" t="s">
        <v>15</v>
      </c>
      <c r="D580" s="10" t="s">
        <v>44</v>
      </c>
      <c r="E580" s="10" t="s">
        <v>17</v>
      </c>
      <c r="F580" s="10" t="s">
        <v>686</v>
      </c>
      <c r="G580" s="10" t="s">
        <v>1963</v>
      </c>
      <c r="H580" s="10" t="s">
        <v>688</v>
      </c>
      <c r="I580" s="10" t="s">
        <v>689</v>
      </c>
      <c r="J580" s="10" t="s">
        <v>9</v>
      </c>
      <c r="K580" s="12">
        <v>46086.0</v>
      </c>
      <c r="L580" s="11" t="s">
        <v>1871</v>
      </c>
      <c r="M580" s="7" t="str">
        <f>IFERROR(__xludf.DUMMYFUNCTION("TEXT(
  IF(RIGHT(A580,2)=""mo"",
    EDATE(DATEVALUE(K580), -VALUE(REGEXEXTRACT(A580,""\d+""))),
    DATEVALUE(K580) - IF(RIGHT(A580,1)=""h"", VALUE(REGEXEXTRACT(A580,""\d+""))/24,
         IF(RIGHT(A580,1)=""d"", VALUE(REGEXEXTRACT(A580,""\d+"")),
      "&amp;"   IF(RIGHT(A580,1)=""w"", VALUE(REGEXEXTRACT(A580,""\d+""))*7,
         0)))
  )
, ""YYYY-M-D"")"),"2025-12-5")</f>
        <v>2025-12-5</v>
      </c>
    </row>
    <row r="581">
      <c r="A581" s="10" t="s">
        <v>379</v>
      </c>
      <c r="B581" s="10" t="s">
        <v>1964</v>
      </c>
      <c r="C581" s="10" t="s">
        <v>15</v>
      </c>
      <c r="D581" s="10" t="s">
        <v>44</v>
      </c>
      <c r="E581" s="10" t="s">
        <v>17</v>
      </c>
      <c r="F581" s="10" t="s">
        <v>787</v>
      </c>
      <c r="G581" s="10" t="s">
        <v>1965</v>
      </c>
      <c r="H581" s="10" t="s">
        <v>1966</v>
      </c>
      <c r="I581" s="10" t="s">
        <v>1967</v>
      </c>
      <c r="J581" s="10" t="s">
        <v>9</v>
      </c>
      <c r="K581" s="12">
        <v>46086.0</v>
      </c>
      <c r="L581" s="11" t="s">
        <v>1871</v>
      </c>
      <c r="M581" s="7" t="str">
        <f>IFERROR(__xludf.DUMMYFUNCTION("TEXT(
  IF(RIGHT(A581,2)=""mo"",
    EDATE(DATEVALUE(K581), -VALUE(REGEXEXTRACT(A581,""\d+""))),
    DATEVALUE(K581) - IF(RIGHT(A581,1)=""h"", VALUE(REGEXEXTRACT(A581,""\d+""))/24,
         IF(RIGHT(A581,1)=""d"", VALUE(REGEXEXTRACT(A581,""\d+"")),
      "&amp;"   IF(RIGHT(A581,1)=""w"", VALUE(REGEXEXTRACT(A581,""\d+""))*7,
         0)))
  )
, ""YYYY-M-D"")"),"2026-2-5")</f>
        <v>2026-2-5</v>
      </c>
    </row>
    <row r="582">
      <c r="A582" s="10" t="s">
        <v>239</v>
      </c>
      <c r="B582" s="10" t="s">
        <v>1024</v>
      </c>
      <c r="C582" s="10" t="s">
        <v>15</v>
      </c>
      <c r="D582" s="10" t="s">
        <v>16</v>
      </c>
      <c r="E582" s="10" t="s">
        <v>17</v>
      </c>
      <c r="F582" s="10" t="s">
        <v>1025</v>
      </c>
      <c r="G582" s="10" t="s">
        <v>1026</v>
      </c>
      <c r="H582" s="10" t="s">
        <v>1027</v>
      </c>
      <c r="I582" s="10" t="s">
        <v>1028</v>
      </c>
      <c r="J582" s="10" t="s">
        <v>9</v>
      </c>
      <c r="K582" s="12">
        <v>46086.0</v>
      </c>
      <c r="L582" s="11" t="s">
        <v>1871</v>
      </c>
      <c r="M582" s="7" t="str">
        <f>IFERROR(__xludf.DUMMYFUNCTION("TEXT(
  IF(RIGHT(A582,2)=""mo"",
    EDATE(DATEVALUE(K582), -VALUE(REGEXEXTRACT(A582,""\d+""))),
    DATEVALUE(K582) - IF(RIGHT(A582,1)=""h"", VALUE(REGEXEXTRACT(A582,""\d+""))/24,
         IF(RIGHT(A582,1)=""d"", VALUE(REGEXEXTRACT(A582,""\d+"")),
      "&amp;"   IF(RIGHT(A582,1)=""w"", VALUE(REGEXEXTRACT(A582,""\d+""))*7,
         0)))
  )
, ""YYYY-M-D"")"),"2026-2-19")</f>
        <v>2026-2-19</v>
      </c>
    </row>
    <row r="583">
      <c r="A583" s="10" t="s">
        <v>173</v>
      </c>
      <c r="B583" s="10" t="s">
        <v>1968</v>
      </c>
      <c r="C583" s="10" t="s">
        <v>15</v>
      </c>
      <c r="D583" s="10" t="s">
        <v>16</v>
      </c>
      <c r="E583" s="10" t="s">
        <v>17</v>
      </c>
      <c r="F583" s="10" t="s">
        <v>542</v>
      </c>
      <c r="G583" s="10" t="s">
        <v>543</v>
      </c>
      <c r="H583" s="10" t="s">
        <v>1969</v>
      </c>
      <c r="I583" s="10" t="s">
        <v>1970</v>
      </c>
      <c r="J583" s="10" t="s">
        <v>9</v>
      </c>
      <c r="K583" s="12">
        <v>46086.0</v>
      </c>
      <c r="L583" s="11" t="s">
        <v>1871</v>
      </c>
      <c r="M583" s="7" t="str">
        <f>IFERROR(__xludf.DUMMYFUNCTION("TEXT(
  IF(RIGHT(A583,2)=""mo"",
    EDATE(DATEVALUE(K583), -VALUE(REGEXEXTRACT(A583,""\d+""))),
    DATEVALUE(K583) - IF(RIGHT(A583,1)=""h"", VALUE(REGEXEXTRACT(A583,""\d+""))/24,
         IF(RIGHT(A583,1)=""d"", VALUE(REGEXEXTRACT(A583,""\d+"")),
      "&amp;"   IF(RIGHT(A583,1)=""w"", VALUE(REGEXEXTRACT(A583,""\d+""))*7,
         0)))
  )
, ""YYYY-M-D"")"),"2026-2-26")</f>
        <v>2026-2-26</v>
      </c>
    </row>
    <row r="584">
      <c r="A584" s="10" t="s">
        <v>23</v>
      </c>
      <c r="B584" s="10" t="s">
        <v>1971</v>
      </c>
      <c r="C584" s="10" t="s">
        <v>15</v>
      </c>
      <c r="D584" s="10" t="s">
        <v>1972</v>
      </c>
      <c r="E584" s="10" t="s">
        <v>44</v>
      </c>
      <c r="F584" s="10" t="s">
        <v>17</v>
      </c>
      <c r="G584" s="10" t="s">
        <v>1973</v>
      </c>
      <c r="H584" s="10" t="s">
        <v>1974</v>
      </c>
      <c r="I584" s="10" t="s">
        <v>1975</v>
      </c>
      <c r="J584" s="10" t="s">
        <v>9</v>
      </c>
      <c r="K584" s="12">
        <v>46086.0</v>
      </c>
      <c r="L584" s="11" t="s">
        <v>1871</v>
      </c>
      <c r="M584" s="7" t="str">
        <f>IFERROR(__xludf.DUMMYFUNCTION("TEXT(
  IF(RIGHT(A584,2)=""mo"",
    EDATE(DATEVALUE(K584), -VALUE(REGEXEXTRACT(A584,""\d+""))),
    DATEVALUE(K584) - IF(RIGHT(A584,1)=""h"", VALUE(REGEXEXTRACT(A584,""\d+""))/24,
         IF(RIGHT(A584,1)=""d"", VALUE(REGEXEXTRACT(A584,""\d+"")),
      "&amp;"   IF(RIGHT(A584,1)=""w"", VALUE(REGEXEXTRACT(A584,""\d+""))*7,
         0)))
  )
, ""YYYY-M-D"")"),"2026-3-4")</f>
        <v>2026-3-4</v>
      </c>
    </row>
    <row r="585">
      <c r="A585" s="10" t="s">
        <v>173</v>
      </c>
      <c r="B585" s="10" t="s">
        <v>54</v>
      </c>
      <c r="C585" s="10" t="s">
        <v>15</v>
      </c>
      <c r="D585" s="10" t="s">
        <v>44</v>
      </c>
      <c r="E585" s="10" t="s">
        <v>17</v>
      </c>
      <c r="F585" s="10" t="s">
        <v>1822</v>
      </c>
      <c r="G585" s="10" t="s">
        <v>1823</v>
      </c>
      <c r="H585" s="10" t="s">
        <v>57</v>
      </c>
      <c r="I585" s="10" t="s">
        <v>58</v>
      </c>
      <c r="J585" s="10" t="s">
        <v>9</v>
      </c>
      <c r="K585" s="12">
        <v>46086.0</v>
      </c>
      <c r="L585" s="11" t="s">
        <v>1871</v>
      </c>
      <c r="M585" s="7" t="str">
        <f>IFERROR(__xludf.DUMMYFUNCTION("TEXT(
  IF(RIGHT(A585,2)=""mo"",
    EDATE(DATEVALUE(K585), -VALUE(REGEXEXTRACT(A585,""\d+""))),
    DATEVALUE(K585) - IF(RIGHT(A585,1)=""h"", VALUE(REGEXEXTRACT(A585,""\d+""))/24,
         IF(RIGHT(A585,1)=""d"", VALUE(REGEXEXTRACT(A585,""\d+"")),
      "&amp;"   IF(RIGHT(A585,1)=""w"", VALUE(REGEXEXTRACT(A585,""\d+""))*7,
         0)))
  )
, ""YYYY-M-D"")"),"2026-2-26")</f>
        <v>2026-2-26</v>
      </c>
    </row>
    <row r="586">
      <c r="A586" s="10" t="s">
        <v>321</v>
      </c>
      <c r="B586" s="10" t="s">
        <v>1976</v>
      </c>
      <c r="C586" s="10" t="s">
        <v>15</v>
      </c>
      <c r="D586" s="10" t="s">
        <v>16</v>
      </c>
      <c r="E586" s="10" t="s">
        <v>61</v>
      </c>
      <c r="F586" s="10" t="s">
        <v>707</v>
      </c>
      <c r="G586" s="10" t="s">
        <v>708</v>
      </c>
      <c r="H586" s="10" t="s">
        <v>1977</v>
      </c>
      <c r="I586" s="10" t="s">
        <v>1978</v>
      </c>
      <c r="J586" s="10" t="s">
        <v>9</v>
      </c>
      <c r="K586" s="12">
        <v>46086.0</v>
      </c>
      <c r="L586" s="11" t="s">
        <v>1871</v>
      </c>
      <c r="M586" s="7" t="str">
        <f>IFERROR(__xludf.DUMMYFUNCTION("TEXT(
  IF(RIGHT(A586,2)=""mo"",
    EDATE(DATEVALUE(K586), -VALUE(REGEXEXTRACT(A586,""\d+""))),
    DATEVALUE(K586) - IF(RIGHT(A586,1)=""h"", VALUE(REGEXEXTRACT(A586,""\d+""))/24,
         IF(RIGHT(A586,1)=""d"", VALUE(REGEXEXTRACT(A586,""\d+"")),
      "&amp;"   IF(RIGHT(A586,1)=""w"", VALUE(REGEXEXTRACT(A586,""\d+""))*7,
         0)))
  )
, ""YYYY-M-D"")"),"2026-2-12")</f>
        <v>2026-2-12</v>
      </c>
    </row>
    <row r="587">
      <c r="A587" s="10" t="s">
        <v>379</v>
      </c>
      <c r="B587" s="10" t="s">
        <v>1979</v>
      </c>
      <c r="C587" s="10" t="s">
        <v>15</v>
      </c>
      <c r="D587" s="10" t="s">
        <v>16</v>
      </c>
      <c r="E587" s="10" t="s">
        <v>17</v>
      </c>
      <c r="F587" s="10" t="s">
        <v>125</v>
      </c>
      <c r="G587" s="10" t="s">
        <v>1563</v>
      </c>
      <c r="H587" s="10" t="s">
        <v>1980</v>
      </c>
      <c r="I587" s="10" t="s">
        <v>1981</v>
      </c>
      <c r="J587" s="10" t="s">
        <v>9</v>
      </c>
      <c r="K587" s="12">
        <v>46086.0</v>
      </c>
      <c r="L587" s="11" t="s">
        <v>1871</v>
      </c>
      <c r="M587" s="7" t="str">
        <f>IFERROR(__xludf.DUMMYFUNCTION("TEXT(
  IF(RIGHT(A587,2)=""mo"",
    EDATE(DATEVALUE(K587), -VALUE(REGEXEXTRACT(A587,""\d+""))),
    DATEVALUE(K587) - IF(RIGHT(A587,1)=""h"", VALUE(REGEXEXTRACT(A587,""\d+""))/24,
         IF(RIGHT(A587,1)=""d"", VALUE(REGEXEXTRACT(A587,""\d+"")),
      "&amp;"   IF(RIGHT(A587,1)=""w"", VALUE(REGEXEXTRACT(A587,""\d+""))*7,
         0)))
  )
, ""YYYY-M-D"")"),"2026-2-5")</f>
        <v>2026-2-5</v>
      </c>
    </row>
    <row r="588">
      <c r="A588" s="10" t="s">
        <v>379</v>
      </c>
      <c r="B588" s="10" t="s">
        <v>437</v>
      </c>
      <c r="C588" s="10" t="s">
        <v>438</v>
      </c>
      <c r="D588" s="10" t="s">
        <v>16</v>
      </c>
      <c r="E588" s="10" t="s">
        <v>17</v>
      </c>
      <c r="F588" s="10" t="s">
        <v>439</v>
      </c>
      <c r="G588" s="10" t="s">
        <v>988</v>
      </c>
      <c r="H588" s="10" t="s">
        <v>441</v>
      </c>
      <c r="I588" s="10" t="s">
        <v>442</v>
      </c>
      <c r="J588" s="10" t="s">
        <v>9</v>
      </c>
      <c r="K588" s="12">
        <v>46086.0</v>
      </c>
      <c r="L588" s="11" t="s">
        <v>1871</v>
      </c>
      <c r="M588" s="7" t="str">
        <f>IFERROR(__xludf.DUMMYFUNCTION("TEXT(
  IF(RIGHT(A588,2)=""mo"",
    EDATE(DATEVALUE(K588), -VALUE(REGEXEXTRACT(A588,""\d+""))),
    DATEVALUE(K588) - IF(RIGHT(A588,1)=""h"", VALUE(REGEXEXTRACT(A588,""\d+""))/24,
         IF(RIGHT(A588,1)=""d"", VALUE(REGEXEXTRACT(A588,""\d+"")),
      "&amp;"   IF(RIGHT(A588,1)=""w"", VALUE(REGEXEXTRACT(A588,""\d+""))*7,
         0)))
  )
, ""YYYY-M-D"")"),"2026-2-5")</f>
        <v>2026-2-5</v>
      </c>
    </row>
    <row r="589">
      <c r="A589" s="10" t="s">
        <v>714</v>
      </c>
      <c r="B589" s="10" t="s">
        <v>720</v>
      </c>
      <c r="C589" s="10" t="s">
        <v>15</v>
      </c>
      <c r="D589" s="10" t="s">
        <v>44</v>
      </c>
      <c r="E589" s="10" t="s">
        <v>17</v>
      </c>
      <c r="F589" s="10" t="s">
        <v>721</v>
      </c>
      <c r="G589" s="10" t="s">
        <v>1982</v>
      </c>
      <c r="H589" s="10" t="s">
        <v>723</v>
      </c>
      <c r="I589" s="10" t="s">
        <v>724</v>
      </c>
      <c r="J589" s="10" t="s">
        <v>9</v>
      </c>
      <c r="K589" s="12">
        <v>46086.0</v>
      </c>
      <c r="L589" s="11" t="s">
        <v>1871</v>
      </c>
      <c r="M589" s="7" t="str">
        <f>IFERROR(__xludf.DUMMYFUNCTION("TEXT(
  IF(RIGHT(A589,2)=""mo"",
    EDATE(DATEVALUE(K589), -VALUE(REGEXEXTRACT(A589,""\d+""))),
    DATEVALUE(K589) - IF(RIGHT(A589,1)=""h"", VALUE(REGEXEXTRACT(A589,""\d+""))/24,
         IF(RIGHT(A589,1)=""d"", VALUE(REGEXEXTRACT(A589,""\d+"")),
      "&amp;"   IF(RIGHT(A589,1)=""w"", VALUE(REGEXEXTRACT(A589,""\d+""))*7,
         0)))
  )
, ""YYYY-M-D"")"),"2025-11-5")</f>
        <v>2025-11-5</v>
      </c>
    </row>
    <row r="590">
      <c r="A590" s="10" t="s">
        <v>370</v>
      </c>
      <c r="B590" s="10" t="s">
        <v>361</v>
      </c>
      <c r="C590" s="10" t="s">
        <v>15</v>
      </c>
      <c r="D590" s="10" t="s">
        <v>16</v>
      </c>
      <c r="E590" s="10" t="s">
        <v>17</v>
      </c>
      <c r="F590" s="10" t="s">
        <v>362</v>
      </c>
      <c r="G590" s="10" t="s">
        <v>363</v>
      </c>
      <c r="H590" s="10" t="s">
        <v>364</v>
      </c>
      <c r="I590" s="10" t="s">
        <v>365</v>
      </c>
      <c r="J590" s="10" t="s">
        <v>9</v>
      </c>
      <c r="K590" s="12">
        <v>46086.0</v>
      </c>
      <c r="L590" s="11" t="s">
        <v>1871</v>
      </c>
      <c r="M590" s="7" t="str">
        <f>IFERROR(__xludf.DUMMYFUNCTION("TEXT(
  IF(RIGHT(A590,2)=""mo"",
    EDATE(DATEVALUE(K590), -VALUE(REGEXEXTRACT(A590,""\d+""))),
    DATEVALUE(K590) - IF(RIGHT(A590,1)=""h"", VALUE(REGEXEXTRACT(A590,""\d+""))/24,
         IF(RIGHT(A590,1)=""d"", VALUE(REGEXEXTRACT(A590,""\d+"")),
      "&amp;"   IF(RIGHT(A590,1)=""w"", VALUE(REGEXEXTRACT(A590,""\d+""))*7,
         0)))
  )
, ""YYYY-M-D"")"),"2026-2-5")</f>
        <v>2026-2-5</v>
      </c>
    </row>
    <row r="591">
      <c r="A591" s="10" t="s">
        <v>379</v>
      </c>
      <c r="B591" s="10" t="s">
        <v>536</v>
      </c>
      <c r="C591" s="10" t="s">
        <v>15</v>
      </c>
      <c r="D591" s="10" t="s">
        <v>16</v>
      </c>
      <c r="E591" s="10" t="s">
        <v>17</v>
      </c>
      <c r="F591" s="10" t="s">
        <v>537</v>
      </c>
      <c r="G591" s="10" t="s">
        <v>874</v>
      </c>
      <c r="H591" s="10" t="s">
        <v>539</v>
      </c>
      <c r="I591" s="10" t="s">
        <v>540</v>
      </c>
      <c r="J591" s="10" t="s">
        <v>9</v>
      </c>
      <c r="K591" s="12">
        <v>46086.0</v>
      </c>
      <c r="L591" s="11" t="s">
        <v>1871</v>
      </c>
      <c r="M591" s="7" t="str">
        <f>IFERROR(__xludf.DUMMYFUNCTION("TEXT(
  IF(RIGHT(A591,2)=""mo"",
    EDATE(DATEVALUE(K591), -VALUE(REGEXEXTRACT(A591,""\d+""))),
    DATEVALUE(K591) - IF(RIGHT(A591,1)=""h"", VALUE(REGEXEXTRACT(A591,""\d+""))/24,
         IF(RIGHT(A591,1)=""d"", VALUE(REGEXEXTRACT(A591,""\d+"")),
      "&amp;"   IF(RIGHT(A591,1)=""w"", VALUE(REGEXEXTRACT(A591,""\d+""))*7,
         0)))
  )
, ""YYYY-M-D"")"),"2026-2-5")</f>
        <v>2026-2-5</v>
      </c>
    </row>
    <row r="592">
      <c r="A592" s="10" t="s">
        <v>144</v>
      </c>
      <c r="B592" s="10" t="s">
        <v>1983</v>
      </c>
      <c r="C592" s="10" t="s">
        <v>168</v>
      </c>
      <c r="D592" s="10" t="s">
        <v>16</v>
      </c>
      <c r="E592" s="10" t="s">
        <v>17</v>
      </c>
      <c r="F592" s="10" t="s">
        <v>1152</v>
      </c>
      <c r="G592" s="10" t="s">
        <v>1153</v>
      </c>
      <c r="H592" s="10" t="s">
        <v>1984</v>
      </c>
      <c r="I592" s="10" t="s">
        <v>1985</v>
      </c>
      <c r="J592" s="10" t="s">
        <v>9</v>
      </c>
      <c r="K592" s="12">
        <v>46086.0</v>
      </c>
      <c r="L592" s="11" t="s">
        <v>1871</v>
      </c>
      <c r="M592" s="7" t="str">
        <f>IFERROR(__xludf.DUMMYFUNCTION("TEXT(
  IF(RIGHT(A592,2)=""mo"",
    EDATE(DATEVALUE(K592), -VALUE(REGEXEXTRACT(A592,""\d+""))),
    DATEVALUE(K592) - IF(RIGHT(A592,1)=""h"", VALUE(REGEXEXTRACT(A592,""\d+""))/24,
         IF(RIGHT(A592,1)=""d"", VALUE(REGEXEXTRACT(A592,""\d+"")),
      "&amp;"   IF(RIGHT(A592,1)=""w"", VALUE(REGEXEXTRACT(A592,""\d+""))*7,
         0)))
  )
, ""YYYY-M-D"")"),"2026-2-27")</f>
        <v>2026-2-27</v>
      </c>
    </row>
    <row r="593">
      <c r="A593" s="10" t="s">
        <v>1814</v>
      </c>
      <c r="B593" s="10" t="s">
        <v>1986</v>
      </c>
      <c r="C593" s="10" t="s">
        <v>15</v>
      </c>
      <c r="D593" s="10" t="s">
        <v>16</v>
      </c>
      <c r="E593" s="10" t="s">
        <v>17</v>
      </c>
      <c r="F593" s="10" t="s">
        <v>381</v>
      </c>
      <c r="G593" s="10" t="s">
        <v>965</v>
      </c>
      <c r="H593" s="10" t="s">
        <v>1987</v>
      </c>
      <c r="I593" s="10" t="s">
        <v>1988</v>
      </c>
      <c r="J593" s="10" t="s">
        <v>9</v>
      </c>
      <c r="K593" s="12">
        <v>46086.0</v>
      </c>
      <c r="L593" s="11" t="s">
        <v>1871</v>
      </c>
      <c r="M593" s="7" t="str">
        <f>IFERROR(__xludf.DUMMYFUNCTION("TEXT(
  IF(RIGHT(A593,2)=""mo"",
    EDATE(DATEVALUE(K593), -VALUE(REGEXEXTRACT(A593,""\d+""))),
    DATEVALUE(K593) - IF(RIGHT(A593,1)=""h"", VALUE(REGEXEXTRACT(A593,""\d+""))/24,
         IF(RIGHT(A593,1)=""d"", VALUE(REGEXEXTRACT(A593,""\d+"")),
      "&amp;"   IF(RIGHT(A593,1)=""w"", VALUE(REGEXEXTRACT(A593,""\d+""))*7,
         0)))
  )
, ""YYYY-M-D"")"),"2025-9-5")</f>
        <v>2025-9-5</v>
      </c>
    </row>
    <row r="594">
      <c r="A594" s="10" t="s">
        <v>379</v>
      </c>
      <c r="B594" s="10" t="s">
        <v>1989</v>
      </c>
      <c r="C594" s="10" t="s">
        <v>1990</v>
      </c>
      <c r="D594" s="10" t="s">
        <v>16</v>
      </c>
      <c r="E594" s="10" t="s">
        <v>17</v>
      </c>
      <c r="F594" s="10" t="s">
        <v>1991</v>
      </c>
      <c r="G594" s="10" t="s">
        <v>1992</v>
      </c>
      <c r="H594" s="10" t="s">
        <v>1993</v>
      </c>
      <c r="I594" s="10" t="s">
        <v>1994</v>
      </c>
      <c r="J594" s="10" t="s">
        <v>9</v>
      </c>
      <c r="K594" s="12">
        <v>46086.0</v>
      </c>
      <c r="L594" s="11" t="s">
        <v>1871</v>
      </c>
      <c r="M594" s="7" t="str">
        <f>IFERROR(__xludf.DUMMYFUNCTION("TEXT(
  IF(RIGHT(A594,2)=""mo"",
    EDATE(DATEVALUE(K594), -VALUE(REGEXEXTRACT(A594,""\d+""))),
    DATEVALUE(K594) - IF(RIGHT(A594,1)=""h"", VALUE(REGEXEXTRACT(A594,""\d+""))/24,
         IF(RIGHT(A594,1)=""d"", VALUE(REGEXEXTRACT(A594,""\d+"")),
      "&amp;"   IF(RIGHT(A594,1)=""w"", VALUE(REGEXEXTRACT(A594,""\d+""))*7,
         0)))
  )
, ""YYYY-M-D"")"),"2026-2-5")</f>
        <v>2026-2-5</v>
      </c>
    </row>
    <row r="595">
      <c r="A595" s="10" t="s">
        <v>379</v>
      </c>
      <c r="B595" s="10" t="s">
        <v>1995</v>
      </c>
      <c r="C595" s="10" t="s">
        <v>15</v>
      </c>
      <c r="D595" s="10" t="s">
        <v>44</v>
      </c>
      <c r="E595" s="10" t="s">
        <v>17</v>
      </c>
      <c r="F595" s="10" t="s">
        <v>738</v>
      </c>
      <c r="G595" s="10" t="s">
        <v>1996</v>
      </c>
      <c r="H595" s="10" t="s">
        <v>1997</v>
      </c>
      <c r="I595" s="10" t="s">
        <v>1998</v>
      </c>
      <c r="J595" s="10" t="s">
        <v>9</v>
      </c>
      <c r="K595" s="12">
        <v>46086.0</v>
      </c>
      <c r="L595" s="11" t="s">
        <v>1871</v>
      </c>
      <c r="M595" s="7" t="str">
        <f>IFERROR(__xludf.DUMMYFUNCTION("TEXT(
  IF(RIGHT(A595,2)=""mo"",
    EDATE(DATEVALUE(K595), -VALUE(REGEXEXTRACT(A595,""\d+""))),
    DATEVALUE(K595) - IF(RIGHT(A595,1)=""h"", VALUE(REGEXEXTRACT(A595,""\d+""))/24,
         IF(RIGHT(A595,1)=""d"", VALUE(REGEXEXTRACT(A595,""\d+"")),
      "&amp;"   IF(RIGHT(A595,1)=""w"", VALUE(REGEXEXTRACT(A595,""\d+""))*7,
         0)))
  )
, ""YYYY-M-D"")"),"2026-2-5")</f>
        <v>2026-2-5</v>
      </c>
    </row>
    <row r="596">
      <c r="A596" s="10" t="s">
        <v>581</v>
      </c>
      <c r="B596" s="10" t="s">
        <v>1999</v>
      </c>
      <c r="C596" s="10" t="s">
        <v>15</v>
      </c>
      <c r="D596" s="10" t="s">
        <v>44</v>
      </c>
      <c r="E596" s="10" t="s">
        <v>61</v>
      </c>
      <c r="F596" s="10" t="s">
        <v>1271</v>
      </c>
      <c r="G596" s="10" t="s">
        <v>1272</v>
      </c>
      <c r="H596" s="10" t="s">
        <v>2000</v>
      </c>
      <c r="I596" s="10" t="s">
        <v>160</v>
      </c>
      <c r="J596" s="10" t="s">
        <v>9</v>
      </c>
      <c r="K596" s="12">
        <v>46086.0</v>
      </c>
      <c r="L596" s="11" t="s">
        <v>1871</v>
      </c>
      <c r="M596" s="7" t="str">
        <f>IFERROR(__xludf.DUMMYFUNCTION("TEXT(
  IF(RIGHT(A596,2)=""mo"",
    EDATE(DATEVALUE(K596), -VALUE(REGEXEXTRACT(A596,""\d+""))),
    DATEVALUE(K596) - IF(RIGHT(A596,1)=""h"", VALUE(REGEXEXTRACT(A596,""\d+""))/24,
         IF(RIGHT(A596,1)=""d"", VALUE(REGEXEXTRACT(A596,""\d+"")),
      "&amp;"   IF(RIGHT(A596,1)=""w"", VALUE(REGEXEXTRACT(A596,""\d+""))*7,
         0)))
  )
, ""YYYY-M-D"")"),"2026-1-5")</f>
        <v>2026-1-5</v>
      </c>
    </row>
    <row r="597">
      <c r="A597" s="10" t="s">
        <v>321</v>
      </c>
      <c r="B597" s="10" t="s">
        <v>2001</v>
      </c>
      <c r="C597" s="10" t="s">
        <v>15</v>
      </c>
      <c r="D597" s="10" t="s">
        <v>37</v>
      </c>
      <c r="E597" s="10" t="s">
        <v>17</v>
      </c>
      <c r="F597" s="10" t="s">
        <v>647</v>
      </c>
      <c r="G597" s="10" t="s">
        <v>2002</v>
      </c>
      <c r="H597" s="10" t="s">
        <v>2003</v>
      </c>
      <c r="I597" s="10" t="s">
        <v>2004</v>
      </c>
      <c r="J597" s="10" t="s">
        <v>9</v>
      </c>
      <c r="K597" s="12">
        <v>46086.0</v>
      </c>
      <c r="L597" s="11" t="s">
        <v>2005</v>
      </c>
      <c r="M597" s="7" t="str">
        <f>IFERROR(__xludf.DUMMYFUNCTION("TEXT(
  IF(RIGHT(A597,2)=""mo"",
    EDATE(DATEVALUE(K597), -VALUE(REGEXEXTRACT(A597,""\d+""))),
    DATEVALUE(K597) - IF(RIGHT(A597,1)=""h"", VALUE(REGEXEXTRACT(A597,""\d+""))/24,
         IF(RIGHT(A597,1)=""d"", VALUE(REGEXEXTRACT(A597,""\d+"")),
      "&amp;"   IF(RIGHT(A597,1)=""w"", VALUE(REGEXEXTRACT(A597,""\d+""))*7,
         0)))
  )
, ""YYYY-M-D"")"),"2026-2-12")</f>
        <v>2026-2-12</v>
      </c>
    </row>
    <row r="598">
      <c r="A598" s="10" t="s">
        <v>674</v>
      </c>
      <c r="B598" s="10" t="s">
        <v>2006</v>
      </c>
      <c r="C598" s="10" t="s">
        <v>15</v>
      </c>
      <c r="D598" s="10" t="s">
        <v>44</v>
      </c>
      <c r="E598" s="10" t="s">
        <v>17</v>
      </c>
      <c r="F598" s="10" t="s">
        <v>125</v>
      </c>
      <c r="G598" s="10" t="s">
        <v>1563</v>
      </c>
      <c r="H598" s="10" t="s">
        <v>2007</v>
      </c>
      <c r="I598" s="10" t="s">
        <v>21</v>
      </c>
      <c r="J598" s="10" t="s">
        <v>9</v>
      </c>
      <c r="K598" s="12">
        <v>46086.0</v>
      </c>
      <c r="L598" s="11" t="s">
        <v>2005</v>
      </c>
      <c r="M598" s="7" t="str">
        <f>IFERROR(__xludf.DUMMYFUNCTION("TEXT(
  IF(RIGHT(A598,2)=""mo"",
    EDATE(DATEVALUE(K598), -VALUE(REGEXEXTRACT(A598,""\d+""))),
    DATEVALUE(K598) - IF(RIGHT(A598,1)=""h"", VALUE(REGEXEXTRACT(A598,""\d+""))/24,
         IF(RIGHT(A598,1)=""d"", VALUE(REGEXEXTRACT(A598,""\d+"")),
      "&amp;"   IF(RIGHT(A598,1)=""w"", VALUE(REGEXEXTRACT(A598,""\d+""))*7,
         0)))
  )
, ""YYYY-M-D"")"),"2025-12-5")</f>
        <v>2025-12-5</v>
      </c>
    </row>
    <row r="599">
      <c r="A599" s="10" t="s">
        <v>321</v>
      </c>
      <c r="B599" s="10" t="s">
        <v>2008</v>
      </c>
      <c r="C599" s="10" t="s">
        <v>15</v>
      </c>
      <c r="D599" s="10" t="s">
        <v>44</v>
      </c>
      <c r="E599" s="10" t="s">
        <v>17</v>
      </c>
      <c r="F599" s="10" t="s">
        <v>1075</v>
      </c>
      <c r="G599" s="10" t="s">
        <v>1076</v>
      </c>
      <c r="H599" s="10" t="s">
        <v>2009</v>
      </c>
      <c r="I599" s="10" t="s">
        <v>21</v>
      </c>
      <c r="J599" s="10" t="s">
        <v>9</v>
      </c>
      <c r="K599" s="12">
        <v>46086.0</v>
      </c>
      <c r="L599" s="11" t="s">
        <v>2005</v>
      </c>
      <c r="M599" s="7" t="str">
        <f>IFERROR(__xludf.DUMMYFUNCTION("TEXT(
  IF(RIGHT(A599,2)=""mo"",
    EDATE(DATEVALUE(K599), -VALUE(REGEXEXTRACT(A599,""\d+""))),
    DATEVALUE(K599) - IF(RIGHT(A599,1)=""h"", VALUE(REGEXEXTRACT(A599,""\d+""))/24,
         IF(RIGHT(A599,1)=""d"", VALUE(REGEXEXTRACT(A599,""\d+"")),
      "&amp;"   IF(RIGHT(A599,1)=""w"", VALUE(REGEXEXTRACT(A599,""\d+""))*7,
         0)))
  )
, ""YYYY-M-D"")"),"2026-2-12")</f>
        <v>2026-2-12</v>
      </c>
    </row>
    <row r="600">
      <c r="A600" s="10" t="s">
        <v>379</v>
      </c>
      <c r="B600" s="10" t="s">
        <v>1509</v>
      </c>
      <c r="C600" s="10" t="s">
        <v>1510</v>
      </c>
      <c r="D600" s="10" t="s">
        <v>16</v>
      </c>
      <c r="E600" s="10" t="s">
        <v>17</v>
      </c>
      <c r="F600" s="10" t="s">
        <v>1511</v>
      </c>
      <c r="G600" s="10" t="s">
        <v>1512</v>
      </c>
      <c r="H600" s="10" t="s">
        <v>1513</v>
      </c>
      <c r="I600" s="10" t="s">
        <v>21</v>
      </c>
      <c r="J600" s="10" t="s">
        <v>9</v>
      </c>
      <c r="K600" s="12">
        <v>46086.0</v>
      </c>
      <c r="L600" s="11" t="s">
        <v>2005</v>
      </c>
      <c r="M600" s="7" t="str">
        <f>IFERROR(__xludf.DUMMYFUNCTION("TEXT(
  IF(RIGHT(A600,2)=""mo"",
    EDATE(DATEVALUE(K600), -VALUE(REGEXEXTRACT(A600,""\d+""))),
    DATEVALUE(K600) - IF(RIGHT(A600,1)=""h"", VALUE(REGEXEXTRACT(A600,""\d+""))/24,
         IF(RIGHT(A600,1)=""d"", VALUE(REGEXEXTRACT(A600,""\d+"")),
      "&amp;"   IF(RIGHT(A600,1)=""w"", VALUE(REGEXEXTRACT(A600,""\d+""))*7,
         0)))
  )
, ""YYYY-M-D"")"),"2026-2-5")</f>
        <v>2026-2-5</v>
      </c>
    </row>
    <row r="601">
      <c r="A601" s="10" t="s">
        <v>581</v>
      </c>
      <c r="B601" s="10" t="s">
        <v>1020</v>
      </c>
      <c r="C601" s="10" t="s">
        <v>2010</v>
      </c>
      <c r="D601" s="10" t="s">
        <v>16</v>
      </c>
      <c r="E601" s="10" t="s">
        <v>17</v>
      </c>
      <c r="F601" s="10" t="s">
        <v>493</v>
      </c>
      <c r="G601" s="10" t="s">
        <v>1022</v>
      </c>
      <c r="H601" s="10" t="s">
        <v>2011</v>
      </c>
      <c r="I601" s="10" t="s">
        <v>21</v>
      </c>
      <c r="J601" s="10" t="s">
        <v>9</v>
      </c>
      <c r="K601" s="12">
        <v>46086.0</v>
      </c>
      <c r="L601" s="11" t="s">
        <v>2005</v>
      </c>
      <c r="M601" s="7" t="str">
        <f>IFERROR(__xludf.DUMMYFUNCTION("TEXT(
  IF(RIGHT(A601,2)=""mo"",
    EDATE(DATEVALUE(K601), -VALUE(REGEXEXTRACT(A601,""\d+""))),
    DATEVALUE(K601) - IF(RIGHT(A601,1)=""h"", VALUE(REGEXEXTRACT(A601,""\d+""))/24,
         IF(RIGHT(A601,1)=""d"", VALUE(REGEXEXTRACT(A601,""\d+"")),
      "&amp;"   IF(RIGHT(A601,1)=""w"", VALUE(REGEXEXTRACT(A601,""\d+""))*7,
         0)))
  )
, ""YYYY-M-D"")"),"2026-1-5")</f>
        <v>2026-1-5</v>
      </c>
    </row>
    <row r="602">
      <c r="A602" s="10" t="s">
        <v>581</v>
      </c>
      <c r="B602" s="10" t="s">
        <v>1743</v>
      </c>
      <c r="C602" s="10" t="s">
        <v>15</v>
      </c>
      <c r="D602" s="10" t="s">
        <v>44</v>
      </c>
      <c r="E602" s="10" t="s">
        <v>17</v>
      </c>
      <c r="F602" s="10" t="s">
        <v>357</v>
      </c>
      <c r="G602" s="10" t="s">
        <v>358</v>
      </c>
      <c r="H602" s="10" t="s">
        <v>1744</v>
      </c>
      <c r="I602" s="10" t="s">
        <v>21</v>
      </c>
      <c r="J602" s="10" t="s">
        <v>9</v>
      </c>
      <c r="K602" s="12">
        <v>46086.0</v>
      </c>
      <c r="L602" s="11" t="s">
        <v>2005</v>
      </c>
      <c r="M602" s="7" t="str">
        <f>IFERROR(__xludf.DUMMYFUNCTION("TEXT(
  IF(RIGHT(A602,2)=""mo"",
    EDATE(DATEVALUE(K602), -VALUE(REGEXEXTRACT(A602,""\d+""))),
    DATEVALUE(K602) - IF(RIGHT(A602,1)=""h"", VALUE(REGEXEXTRACT(A602,""\d+""))/24,
         IF(RIGHT(A602,1)=""d"", VALUE(REGEXEXTRACT(A602,""\d+"")),
      "&amp;"   IF(RIGHT(A602,1)=""w"", VALUE(REGEXEXTRACT(A602,""\d+""))*7,
         0)))
  )
, ""YYYY-M-D"")"),"2026-1-5")</f>
        <v>2026-1-5</v>
      </c>
    </row>
    <row r="603">
      <c r="A603" s="10" t="s">
        <v>379</v>
      </c>
      <c r="B603" s="10" t="s">
        <v>2012</v>
      </c>
      <c r="C603" s="10" t="s">
        <v>15</v>
      </c>
      <c r="D603" s="10" t="s">
        <v>16</v>
      </c>
      <c r="E603" s="10" t="s">
        <v>17</v>
      </c>
      <c r="F603" s="10" t="s">
        <v>1421</v>
      </c>
      <c r="G603" s="10" t="s">
        <v>1857</v>
      </c>
      <c r="H603" s="10" t="s">
        <v>2013</v>
      </c>
      <c r="I603" s="10" t="s">
        <v>21</v>
      </c>
      <c r="J603" s="10" t="s">
        <v>9</v>
      </c>
      <c r="K603" s="12">
        <v>46086.0</v>
      </c>
      <c r="L603" s="11" t="s">
        <v>2005</v>
      </c>
      <c r="M603" s="7" t="str">
        <f>IFERROR(__xludf.DUMMYFUNCTION("TEXT(
  IF(RIGHT(A603,2)=""mo"",
    EDATE(DATEVALUE(K603), -VALUE(REGEXEXTRACT(A603,""\d+""))),
    DATEVALUE(K603) - IF(RIGHT(A603,1)=""h"", VALUE(REGEXEXTRACT(A603,""\d+""))/24,
         IF(RIGHT(A603,1)=""d"", VALUE(REGEXEXTRACT(A603,""\d+"")),
      "&amp;"   IF(RIGHT(A603,1)=""w"", VALUE(REGEXEXTRACT(A603,""\d+""))*7,
         0)))
  )
, ""YYYY-M-D"")"),"2026-2-5")</f>
        <v>2026-2-5</v>
      </c>
    </row>
    <row r="604">
      <c r="A604" s="10" t="s">
        <v>239</v>
      </c>
      <c r="B604" s="10" t="s">
        <v>1613</v>
      </c>
      <c r="C604" s="10" t="s">
        <v>1614</v>
      </c>
      <c r="D604" s="10" t="s">
        <v>16</v>
      </c>
      <c r="E604" s="10" t="s">
        <v>913</v>
      </c>
      <c r="F604" s="10" t="s">
        <v>1615</v>
      </c>
      <c r="G604" s="10" t="s">
        <v>1616</v>
      </c>
      <c r="H604" s="10" t="s">
        <v>1617</v>
      </c>
      <c r="I604" s="10" t="s">
        <v>1618</v>
      </c>
      <c r="J604" s="10" t="s">
        <v>9</v>
      </c>
      <c r="K604" s="12">
        <v>46086.0</v>
      </c>
      <c r="L604" s="11" t="s">
        <v>2005</v>
      </c>
      <c r="M604" s="7" t="str">
        <f>IFERROR(__xludf.DUMMYFUNCTION("TEXT(
  IF(RIGHT(A604,2)=""mo"",
    EDATE(DATEVALUE(K604), -VALUE(REGEXEXTRACT(A604,""\d+""))),
    DATEVALUE(K604) - IF(RIGHT(A604,1)=""h"", VALUE(REGEXEXTRACT(A604,""\d+""))/24,
         IF(RIGHT(A604,1)=""d"", VALUE(REGEXEXTRACT(A604,""\d+"")),
      "&amp;"   IF(RIGHT(A604,1)=""w"", VALUE(REGEXEXTRACT(A604,""\d+""))*7,
         0)))
  )
, ""YYYY-M-D"")"),"2026-2-19")</f>
        <v>2026-2-19</v>
      </c>
    </row>
    <row r="605">
      <c r="A605" s="10" t="s">
        <v>321</v>
      </c>
      <c r="B605" s="10" t="s">
        <v>2014</v>
      </c>
      <c r="C605" s="10" t="s">
        <v>15</v>
      </c>
      <c r="D605" s="10" t="s">
        <v>44</v>
      </c>
      <c r="E605" s="10" t="s">
        <v>17</v>
      </c>
      <c r="F605" s="10" t="s">
        <v>938</v>
      </c>
      <c r="G605" s="10" t="s">
        <v>939</v>
      </c>
      <c r="H605" s="10" t="s">
        <v>2015</v>
      </c>
      <c r="I605" s="10" t="s">
        <v>21</v>
      </c>
      <c r="J605" s="10" t="s">
        <v>9</v>
      </c>
      <c r="K605" s="12">
        <v>46086.0</v>
      </c>
      <c r="L605" s="11" t="s">
        <v>2005</v>
      </c>
      <c r="M605" s="7" t="str">
        <f>IFERROR(__xludf.DUMMYFUNCTION("TEXT(
  IF(RIGHT(A605,2)=""mo"",
    EDATE(DATEVALUE(K605), -VALUE(REGEXEXTRACT(A605,""\d+""))),
    DATEVALUE(K605) - IF(RIGHT(A605,1)=""h"", VALUE(REGEXEXTRACT(A605,""\d+""))/24,
         IF(RIGHT(A605,1)=""d"", VALUE(REGEXEXTRACT(A605,""\d+"")),
      "&amp;"   IF(RIGHT(A605,1)=""w"", VALUE(REGEXEXTRACT(A605,""\d+""))*7,
         0)))
  )
, ""YYYY-M-D"")"),"2026-2-12")</f>
        <v>2026-2-12</v>
      </c>
    </row>
    <row r="606">
      <c r="A606" s="10" t="s">
        <v>23</v>
      </c>
      <c r="B606" s="10" t="s">
        <v>2016</v>
      </c>
      <c r="C606" s="10" t="s">
        <v>15</v>
      </c>
      <c r="D606" s="10" t="s">
        <v>44</v>
      </c>
      <c r="E606" s="10" t="s">
        <v>17</v>
      </c>
      <c r="F606" s="10" t="s">
        <v>1271</v>
      </c>
      <c r="G606" s="10" t="s">
        <v>1782</v>
      </c>
      <c r="H606" s="10" t="s">
        <v>2017</v>
      </c>
      <c r="I606" s="10" t="s">
        <v>21</v>
      </c>
      <c r="J606" s="10" t="s">
        <v>9</v>
      </c>
      <c r="K606" s="12">
        <v>46086.0</v>
      </c>
      <c r="L606" s="11" t="s">
        <v>2005</v>
      </c>
      <c r="M606" s="7" t="str">
        <f>IFERROR(__xludf.DUMMYFUNCTION("TEXT(
  IF(RIGHT(A606,2)=""mo"",
    EDATE(DATEVALUE(K606), -VALUE(REGEXEXTRACT(A606,""\d+""))),
    DATEVALUE(K606) - IF(RIGHT(A606,1)=""h"", VALUE(REGEXEXTRACT(A606,""\d+""))/24,
         IF(RIGHT(A606,1)=""d"", VALUE(REGEXEXTRACT(A606,""\d+"")),
      "&amp;"   IF(RIGHT(A606,1)=""w"", VALUE(REGEXEXTRACT(A606,""\d+""))*7,
         0)))
  )
, ""YYYY-M-D"")"),"2026-3-4")</f>
        <v>2026-3-4</v>
      </c>
    </row>
    <row r="607">
      <c r="A607" s="10" t="s">
        <v>731</v>
      </c>
      <c r="B607" s="10" t="s">
        <v>2018</v>
      </c>
      <c r="C607" s="10" t="s">
        <v>15</v>
      </c>
      <c r="D607" s="10" t="s">
        <v>44</v>
      </c>
      <c r="E607" s="10" t="s">
        <v>17</v>
      </c>
      <c r="F607" s="10" t="s">
        <v>1529</v>
      </c>
      <c r="G607" s="10" t="s">
        <v>1602</v>
      </c>
      <c r="H607" s="10" t="s">
        <v>2019</v>
      </c>
      <c r="I607" s="10" t="s">
        <v>2020</v>
      </c>
      <c r="J607" s="10" t="s">
        <v>9</v>
      </c>
      <c r="K607" s="12">
        <v>46086.0</v>
      </c>
      <c r="L607" s="11" t="s">
        <v>2005</v>
      </c>
      <c r="M607" s="7" t="str">
        <f>IFERROR(__xludf.DUMMYFUNCTION("TEXT(
  IF(RIGHT(A607,2)=""mo"",
    EDATE(DATEVALUE(K607), -VALUE(REGEXEXTRACT(A607,""\d+""))),
    DATEVALUE(K607) - IF(RIGHT(A607,1)=""h"", VALUE(REGEXEXTRACT(A607,""\d+""))/24,
         IF(RIGHT(A607,1)=""d"", VALUE(REGEXEXTRACT(A607,""\d+"")),
      "&amp;"   IF(RIGHT(A607,1)=""w"", VALUE(REGEXEXTRACT(A607,""\d+""))*7,
         0)))
  )
, ""YYYY-M-D"")"),"2025-10-5")</f>
        <v>2025-10-5</v>
      </c>
    </row>
    <row r="608">
      <c r="A608" s="10" t="s">
        <v>581</v>
      </c>
      <c r="B608" s="10" t="s">
        <v>2021</v>
      </c>
      <c r="C608" s="10" t="s">
        <v>15</v>
      </c>
      <c r="D608" s="10" t="s">
        <v>16</v>
      </c>
      <c r="E608" s="10" t="s">
        <v>17</v>
      </c>
      <c r="F608" s="10" t="s">
        <v>2022</v>
      </c>
      <c r="G608" s="10" t="s">
        <v>2023</v>
      </c>
      <c r="H608" s="10" t="s">
        <v>2024</v>
      </c>
      <c r="I608" s="10" t="s">
        <v>21</v>
      </c>
      <c r="J608" s="10" t="s">
        <v>9</v>
      </c>
      <c r="K608" s="12">
        <v>46086.0</v>
      </c>
      <c r="L608" s="11" t="s">
        <v>2005</v>
      </c>
      <c r="M608" s="7" t="str">
        <f>IFERROR(__xludf.DUMMYFUNCTION("TEXT(
  IF(RIGHT(A608,2)=""mo"",
    EDATE(DATEVALUE(K608), -VALUE(REGEXEXTRACT(A608,""\d+""))),
    DATEVALUE(K608) - IF(RIGHT(A608,1)=""h"", VALUE(REGEXEXTRACT(A608,""\d+""))/24,
         IF(RIGHT(A608,1)=""d"", VALUE(REGEXEXTRACT(A608,""\d+"")),
      "&amp;"   IF(RIGHT(A608,1)=""w"", VALUE(REGEXEXTRACT(A608,""\d+""))*7,
         0)))
  )
, ""YYYY-M-D"")"),"2026-1-5")</f>
        <v>2026-1-5</v>
      </c>
    </row>
    <row r="609">
      <c r="A609" s="10" t="s">
        <v>379</v>
      </c>
      <c r="B609" s="10" t="s">
        <v>2025</v>
      </c>
      <c r="C609" s="10" t="s">
        <v>15</v>
      </c>
      <c r="D609" s="10" t="s">
        <v>16</v>
      </c>
      <c r="E609" s="10" t="s">
        <v>17</v>
      </c>
      <c r="F609" s="10" t="s">
        <v>466</v>
      </c>
      <c r="G609" s="10" t="s">
        <v>467</v>
      </c>
      <c r="H609" s="10" t="s">
        <v>2026</v>
      </c>
      <c r="I609" s="10" t="s">
        <v>469</v>
      </c>
      <c r="J609" s="10" t="s">
        <v>9</v>
      </c>
      <c r="K609" s="12">
        <v>46086.0</v>
      </c>
      <c r="L609" s="11" t="s">
        <v>2005</v>
      </c>
      <c r="M609" s="7" t="str">
        <f>IFERROR(__xludf.DUMMYFUNCTION("TEXT(
  IF(RIGHT(A609,2)=""mo"",
    EDATE(DATEVALUE(K609), -VALUE(REGEXEXTRACT(A609,""\d+""))),
    DATEVALUE(K609) - IF(RIGHT(A609,1)=""h"", VALUE(REGEXEXTRACT(A609,""\d+""))/24,
         IF(RIGHT(A609,1)=""d"", VALUE(REGEXEXTRACT(A609,""\d+"")),
      "&amp;"   IF(RIGHT(A609,1)=""w"", VALUE(REGEXEXTRACT(A609,""\d+""))*7,
         0)))
  )
, ""YYYY-M-D"")"),"2026-2-5")</f>
        <v>2026-2-5</v>
      </c>
    </row>
    <row r="610">
      <c r="A610" s="10" t="s">
        <v>379</v>
      </c>
      <c r="B610" s="10" t="s">
        <v>2027</v>
      </c>
      <c r="C610" s="10" t="s">
        <v>2028</v>
      </c>
      <c r="D610" s="10" t="s">
        <v>37</v>
      </c>
      <c r="E610" s="10" t="s">
        <v>17</v>
      </c>
      <c r="F610" s="10" t="s">
        <v>1442</v>
      </c>
      <c r="G610" s="10" t="s">
        <v>2029</v>
      </c>
      <c r="H610" s="10" t="s">
        <v>2030</v>
      </c>
      <c r="I610" s="10" t="s">
        <v>2031</v>
      </c>
      <c r="J610" s="10" t="s">
        <v>9</v>
      </c>
      <c r="K610" s="12">
        <v>46086.0</v>
      </c>
      <c r="L610" s="11" t="s">
        <v>2005</v>
      </c>
      <c r="M610" s="7" t="str">
        <f>IFERROR(__xludf.DUMMYFUNCTION("TEXT(
  IF(RIGHT(A610,2)=""mo"",
    EDATE(DATEVALUE(K610), -VALUE(REGEXEXTRACT(A610,""\d+""))),
    DATEVALUE(K610) - IF(RIGHT(A610,1)=""h"", VALUE(REGEXEXTRACT(A610,""\d+""))/24,
         IF(RIGHT(A610,1)=""d"", VALUE(REGEXEXTRACT(A610,""\d+"")),
      "&amp;"   IF(RIGHT(A610,1)=""w"", VALUE(REGEXEXTRACT(A610,""\d+""))*7,
         0)))
  )
, ""YYYY-M-D"")"),"2026-2-5")</f>
        <v>2026-2-5</v>
      </c>
    </row>
    <row r="611">
      <c r="A611" s="10" t="s">
        <v>379</v>
      </c>
      <c r="B611" s="10" t="s">
        <v>2032</v>
      </c>
      <c r="C611" s="10" t="s">
        <v>15</v>
      </c>
      <c r="D611" s="10" t="s">
        <v>44</v>
      </c>
      <c r="E611" s="10" t="s">
        <v>17</v>
      </c>
      <c r="F611" s="10" t="s">
        <v>1128</v>
      </c>
      <c r="G611" s="10" t="s">
        <v>1129</v>
      </c>
      <c r="H611" s="10" t="s">
        <v>2033</v>
      </c>
      <c r="I611" s="10" t="s">
        <v>2034</v>
      </c>
      <c r="J611" s="10" t="s">
        <v>9</v>
      </c>
      <c r="K611" s="12">
        <v>46086.0</v>
      </c>
      <c r="L611" s="11" t="s">
        <v>2005</v>
      </c>
      <c r="M611" s="7" t="str">
        <f>IFERROR(__xludf.DUMMYFUNCTION("TEXT(
  IF(RIGHT(A611,2)=""mo"",
    EDATE(DATEVALUE(K611), -VALUE(REGEXEXTRACT(A611,""\d+""))),
    DATEVALUE(K611) - IF(RIGHT(A611,1)=""h"", VALUE(REGEXEXTRACT(A611,""\d+""))/24,
         IF(RIGHT(A611,1)=""d"", VALUE(REGEXEXTRACT(A611,""\d+"")),
      "&amp;"   IF(RIGHT(A611,1)=""w"", VALUE(REGEXEXTRACT(A611,""\d+""))*7,
         0)))
  )
, ""YYYY-M-D"")"),"2026-2-5")</f>
        <v>2026-2-5</v>
      </c>
    </row>
    <row r="612">
      <c r="A612" s="10" t="s">
        <v>42</v>
      </c>
      <c r="B612" s="10" t="s">
        <v>1445</v>
      </c>
      <c r="C612" s="10" t="s">
        <v>1446</v>
      </c>
      <c r="D612" s="10" t="s">
        <v>37</v>
      </c>
      <c r="E612" s="10" t="s">
        <v>17</v>
      </c>
      <c r="F612" s="10" t="s">
        <v>493</v>
      </c>
      <c r="G612" s="10" t="s">
        <v>1447</v>
      </c>
      <c r="H612" s="10" t="s">
        <v>1448</v>
      </c>
      <c r="I612" s="10" t="s">
        <v>21</v>
      </c>
      <c r="J612" s="10" t="s">
        <v>9</v>
      </c>
      <c r="K612" s="12">
        <v>46086.0</v>
      </c>
      <c r="L612" s="11" t="s">
        <v>2005</v>
      </c>
      <c r="M612" s="7" t="str">
        <f>IFERROR(__xludf.DUMMYFUNCTION("TEXT(
  IF(RIGHT(A612,2)=""mo"",
    EDATE(DATEVALUE(K612), -VALUE(REGEXEXTRACT(A612,""\d+""))),
    DATEVALUE(K612) - IF(RIGHT(A612,1)=""h"", VALUE(REGEXEXTRACT(A612,""\d+""))/24,
         IF(RIGHT(A612,1)=""d"", VALUE(REGEXEXTRACT(A612,""\d+"")),
      "&amp;"   IF(RIGHT(A612,1)=""w"", VALUE(REGEXEXTRACT(A612,""\d+""))*7,
         0)))
  )
, ""YYYY-M-D"")"),"2026-3-2")</f>
        <v>2026-3-2</v>
      </c>
    </row>
    <row r="613">
      <c r="A613" s="10" t="s">
        <v>28</v>
      </c>
      <c r="B613" s="10" t="s">
        <v>1438</v>
      </c>
      <c r="C613" s="10" t="s">
        <v>268</v>
      </c>
      <c r="D613" s="10" t="s">
        <v>37</v>
      </c>
      <c r="E613" s="10" t="s">
        <v>17</v>
      </c>
      <c r="F613" s="10" t="s">
        <v>1439</v>
      </c>
      <c r="G613" s="10" t="s">
        <v>1440</v>
      </c>
      <c r="H613" s="10" t="s">
        <v>1441</v>
      </c>
      <c r="I613" s="10" t="s">
        <v>21</v>
      </c>
      <c r="J613" s="10" t="s">
        <v>9</v>
      </c>
      <c r="K613" s="12">
        <v>46086.0</v>
      </c>
      <c r="L613" s="11" t="s">
        <v>2005</v>
      </c>
      <c r="M613" s="7" t="str">
        <f>IFERROR(__xludf.DUMMYFUNCTION("TEXT(
  IF(RIGHT(A613,2)=""mo"",
    EDATE(DATEVALUE(K613), -VALUE(REGEXEXTRACT(A613,""\d+""))),
    DATEVALUE(K613) - IF(RIGHT(A613,1)=""h"", VALUE(REGEXEXTRACT(A613,""\d+""))/24,
         IF(RIGHT(A613,1)=""d"", VALUE(REGEXEXTRACT(A613,""\d+"")),
      "&amp;"   IF(RIGHT(A613,1)=""w"", VALUE(REGEXEXTRACT(A613,""\d+""))*7,
         0)))
  )
, ""YYYY-M-D"")"),"2026-3-3")</f>
        <v>2026-3-3</v>
      </c>
    </row>
    <row r="614">
      <c r="A614" s="10" t="s">
        <v>714</v>
      </c>
      <c r="B614" s="10" t="s">
        <v>2035</v>
      </c>
      <c r="C614" s="10" t="s">
        <v>15</v>
      </c>
      <c r="D614" s="10" t="s">
        <v>44</v>
      </c>
      <c r="E614" s="10" t="s">
        <v>17</v>
      </c>
      <c r="F614" s="10" t="s">
        <v>2036</v>
      </c>
      <c r="G614" s="10" t="s">
        <v>2037</v>
      </c>
      <c r="H614" s="10" t="s">
        <v>2038</v>
      </c>
      <c r="I614" s="10" t="s">
        <v>2039</v>
      </c>
      <c r="J614" s="10" t="s">
        <v>9</v>
      </c>
      <c r="K614" s="12">
        <v>46086.0</v>
      </c>
      <c r="L614" s="11" t="s">
        <v>2005</v>
      </c>
      <c r="M614" s="7" t="str">
        <f>IFERROR(__xludf.DUMMYFUNCTION("TEXT(
  IF(RIGHT(A614,2)=""mo"",
    EDATE(DATEVALUE(K614), -VALUE(REGEXEXTRACT(A614,""\d+""))),
    DATEVALUE(K614) - IF(RIGHT(A614,1)=""h"", VALUE(REGEXEXTRACT(A614,""\d+""))/24,
         IF(RIGHT(A614,1)=""d"", VALUE(REGEXEXTRACT(A614,""\d+"")),
      "&amp;"   IF(RIGHT(A614,1)=""w"", VALUE(REGEXEXTRACT(A614,""\d+""))*7,
         0)))
  )
, ""YYYY-M-D"")"),"2025-11-5")</f>
        <v>2025-11-5</v>
      </c>
    </row>
    <row r="615">
      <c r="A615" s="10" t="s">
        <v>239</v>
      </c>
      <c r="B615" s="10" t="s">
        <v>2040</v>
      </c>
      <c r="C615" s="10" t="s">
        <v>15</v>
      </c>
      <c r="D615" s="10" t="s">
        <v>44</v>
      </c>
      <c r="E615" s="10" t="s">
        <v>17</v>
      </c>
      <c r="F615" s="10" t="s">
        <v>2041</v>
      </c>
      <c r="G615" s="10" t="s">
        <v>2042</v>
      </c>
      <c r="H615" s="10" t="s">
        <v>2043</v>
      </c>
      <c r="I615" s="10" t="s">
        <v>872</v>
      </c>
      <c r="J615" s="10" t="s">
        <v>9</v>
      </c>
      <c r="K615" s="12">
        <v>46086.0</v>
      </c>
      <c r="L615" s="11" t="s">
        <v>2005</v>
      </c>
      <c r="M615" s="7" t="str">
        <f>IFERROR(__xludf.DUMMYFUNCTION("TEXT(
  IF(RIGHT(A615,2)=""mo"",
    EDATE(DATEVALUE(K615), -VALUE(REGEXEXTRACT(A615,""\d+""))),
    DATEVALUE(K615) - IF(RIGHT(A615,1)=""h"", VALUE(REGEXEXTRACT(A615,""\d+""))/24,
         IF(RIGHT(A615,1)=""d"", VALUE(REGEXEXTRACT(A615,""\d+"")),
      "&amp;"   IF(RIGHT(A615,1)=""w"", VALUE(REGEXEXTRACT(A615,""\d+""))*7,
         0)))
  )
, ""YYYY-M-D"")"),"2026-2-19")</f>
        <v>2026-2-19</v>
      </c>
    </row>
    <row r="616">
      <c r="A616" s="10" t="s">
        <v>321</v>
      </c>
      <c r="B616" s="10" t="s">
        <v>267</v>
      </c>
      <c r="C616" s="10" t="s">
        <v>268</v>
      </c>
      <c r="D616" s="10" t="s">
        <v>37</v>
      </c>
      <c r="E616" s="10" t="s">
        <v>17</v>
      </c>
      <c r="F616" s="10" t="s">
        <v>269</v>
      </c>
      <c r="G616" s="10" t="s">
        <v>850</v>
      </c>
      <c r="H616" s="10" t="s">
        <v>271</v>
      </c>
      <c r="I616" s="10" t="s">
        <v>272</v>
      </c>
      <c r="J616" s="10" t="s">
        <v>9</v>
      </c>
      <c r="K616" s="12">
        <v>46086.0</v>
      </c>
      <c r="L616" s="11" t="s">
        <v>2005</v>
      </c>
      <c r="M616" s="7" t="str">
        <f>IFERROR(__xludf.DUMMYFUNCTION("TEXT(
  IF(RIGHT(A616,2)=""mo"",
    EDATE(DATEVALUE(K616), -VALUE(REGEXEXTRACT(A616,""\d+""))),
    DATEVALUE(K616) - IF(RIGHT(A616,1)=""h"", VALUE(REGEXEXTRACT(A616,""\d+""))/24,
         IF(RIGHT(A616,1)=""d"", VALUE(REGEXEXTRACT(A616,""\d+"")),
      "&amp;"   IF(RIGHT(A616,1)=""w"", VALUE(REGEXEXTRACT(A616,""\d+""))*7,
         0)))
  )
, ""YYYY-M-D"")"),"2026-2-12")</f>
        <v>2026-2-12</v>
      </c>
    </row>
    <row r="617">
      <c r="K617" s="13"/>
    </row>
    <row r="618">
      <c r="K618" s="13"/>
    </row>
    <row r="619">
      <c r="K619" s="13"/>
    </row>
    <row r="620">
      <c r="K620" s="13"/>
    </row>
    <row r="621">
      <c r="K621" s="13"/>
    </row>
    <row r="622">
      <c r="K622" s="13"/>
    </row>
    <row r="623">
      <c r="K623" s="13"/>
    </row>
    <row r="624">
      <c r="K624" s="13"/>
    </row>
    <row r="625">
      <c r="K625" s="13"/>
    </row>
    <row r="626">
      <c r="K626" s="13"/>
    </row>
    <row r="627">
      <c r="K627" s="13"/>
    </row>
    <row r="628">
      <c r="K628" s="13"/>
    </row>
    <row r="629">
      <c r="K629" s="13"/>
    </row>
    <row r="630">
      <c r="K630" s="13"/>
    </row>
    <row r="631">
      <c r="K631" s="13"/>
    </row>
    <row r="632">
      <c r="K632" s="13"/>
    </row>
    <row r="633">
      <c r="K633" s="13"/>
    </row>
    <row r="634">
      <c r="K634" s="13"/>
    </row>
    <row r="635">
      <c r="K635" s="13"/>
    </row>
    <row r="636">
      <c r="K636" s="13"/>
    </row>
    <row r="637">
      <c r="K637" s="13"/>
    </row>
    <row r="638">
      <c r="K638" s="13"/>
    </row>
    <row r="639">
      <c r="K639" s="13"/>
    </row>
    <row r="640">
      <c r="K640" s="13"/>
    </row>
    <row r="641">
      <c r="K641" s="13"/>
    </row>
    <row r="642">
      <c r="K642" s="13"/>
    </row>
    <row r="643">
      <c r="K643" s="13"/>
    </row>
    <row r="644">
      <c r="K644" s="13"/>
    </row>
    <row r="645">
      <c r="K645" s="13"/>
    </row>
    <row r="646">
      <c r="K646" s="13"/>
    </row>
    <row r="647">
      <c r="K647" s="13"/>
    </row>
    <row r="648">
      <c r="K648" s="13"/>
    </row>
    <row r="649">
      <c r="K649" s="13"/>
    </row>
    <row r="650">
      <c r="K650" s="13"/>
    </row>
    <row r="651">
      <c r="K651" s="13"/>
    </row>
    <row r="652">
      <c r="K652" s="13"/>
    </row>
    <row r="653">
      <c r="K653" s="13"/>
    </row>
    <row r="654">
      <c r="K654" s="13"/>
    </row>
    <row r="655">
      <c r="K655" s="13"/>
    </row>
    <row r="656">
      <c r="K656" s="13"/>
    </row>
    <row r="657">
      <c r="K657" s="13"/>
    </row>
    <row r="658">
      <c r="K658" s="13"/>
    </row>
    <row r="659">
      <c r="K659" s="13"/>
    </row>
    <row r="660">
      <c r="K660" s="13"/>
    </row>
    <row r="661">
      <c r="K661" s="13"/>
    </row>
    <row r="662">
      <c r="K662" s="13"/>
    </row>
    <row r="663">
      <c r="K663" s="13"/>
    </row>
    <row r="664">
      <c r="K664" s="13"/>
    </row>
    <row r="665">
      <c r="K665" s="13"/>
    </row>
    <row r="666">
      <c r="K666" s="13"/>
    </row>
    <row r="667">
      <c r="K667" s="13"/>
    </row>
    <row r="668">
      <c r="K668" s="13"/>
    </row>
    <row r="669">
      <c r="K669" s="13"/>
    </row>
    <row r="670">
      <c r="K670" s="13"/>
    </row>
    <row r="671">
      <c r="K671" s="13"/>
    </row>
    <row r="672">
      <c r="K672" s="13"/>
    </row>
    <row r="673">
      <c r="K673" s="13"/>
    </row>
    <row r="674">
      <c r="K674" s="13"/>
    </row>
    <row r="675">
      <c r="K675" s="13"/>
    </row>
    <row r="676">
      <c r="K676" s="13"/>
    </row>
    <row r="677">
      <c r="K677" s="13"/>
    </row>
    <row r="678">
      <c r="K678" s="13"/>
    </row>
    <row r="679">
      <c r="K679" s="13"/>
    </row>
    <row r="680">
      <c r="K680" s="13"/>
    </row>
    <row r="681">
      <c r="K681" s="13"/>
    </row>
    <row r="682">
      <c r="K682" s="13"/>
    </row>
    <row r="683">
      <c r="K683" s="13"/>
    </row>
    <row r="684">
      <c r="K684" s="13"/>
    </row>
    <row r="685">
      <c r="K685" s="13"/>
    </row>
    <row r="686">
      <c r="K686" s="13"/>
    </row>
    <row r="687">
      <c r="K687" s="13"/>
    </row>
    <row r="688">
      <c r="K688" s="13"/>
    </row>
    <row r="689">
      <c r="K689" s="13"/>
    </row>
    <row r="690">
      <c r="K690" s="13"/>
    </row>
    <row r="691">
      <c r="K691" s="13"/>
    </row>
    <row r="692">
      <c r="K692" s="13"/>
    </row>
    <row r="693">
      <c r="K693" s="13"/>
    </row>
    <row r="694">
      <c r="K694" s="13"/>
    </row>
    <row r="695">
      <c r="K695" s="13"/>
    </row>
    <row r="696">
      <c r="K696" s="13"/>
    </row>
    <row r="697">
      <c r="K697" s="13"/>
    </row>
    <row r="698">
      <c r="K698" s="13"/>
    </row>
    <row r="699">
      <c r="K699" s="13"/>
    </row>
    <row r="700">
      <c r="K700" s="13"/>
    </row>
    <row r="701">
      <c r="K701" s="13"/>
    </row>
    <row r="702">
      <c r="K702" s="13"/>
    </row>
    <row r="703">
      <c r="K703" s="13"/>
    </row>
    <row r="704">
      <c r="K704" s="13"/>
    </row>
    <row r="705">
      <c r="K705" s="13"/>
    </row>
    <row r="706">
      <c r="K706" s="13"/>
    </row>
    <row r="707">
      <c r="K707" s="13"/>
    </row>
    <row r="708">
      <c r="K708" s="13"/>
    </row>
    <row r="709">
      <c r="K709" s="13"/>
    </row>
    <row r="710">
      <c r="K710" s="13"/>
    </row>
    <row r="711">
      <c r="K711" s="13"/>
    </row>
    <row r="712">
      <c r="K712" s="13"/>
    </row>
    <row r="713">
      <c r="K713" s="13"/>
    </row>
    <row r="714">
      <c r="K714" s="13"/>
    </row>
    <row r="715">
      <c r="K715" s="13"/>
    </row>
    <row r="716">
      <c r="K716" s="13"/>
    </row>
    <row r="717">
      <c r="K717" s="13"/>
    </row>
    <row r="718">
      <c r="K718" s="13"/>
    </row>
    <row r="719">
      <c r="K719" s="13"/>
    </row>
    <row r="720">
      <c r="K720" s="13"/>
    </row>
    <row r="721">
      <c r="K721" s="13"/>
    </row>
    <row r="722">
      <c r="K722" s="13"/>
    </row>
    <row r="723">
      <c r="K723" s="13"/>
    </row>
    <row r="724">
      <c r="K724" s="13"/>
    </row>
    <row r="725">
      <c r="K725" s="13"/>
    </row>
    <row r="726">
      <c r="K726" s="13"/>
    </row>
    <row r="727">
      <c r="K727" s="13"/>
    </row>
    <row r="728">
      <c r="K728" s="13"/>
    </row>
    <row r="729">
      <c r="K729" s="13"/>
    </row>
    <row r="730">
      <c r="K730" s="13"/>
    </row>
    <row r="731">
      <c r="K731" s="13"/>
    </row>
    <row r="732">
      <c r="K732" s="13"/>
    </row>
    <row r="733">
      <c r="K733" s="13"/>
    </row>
    <row r="734">
      <c r="K734" s="13"/>
    </row>
    <row r="735">
      <c r="K735" s="13"/>
    </row>
    <row r="736">
      <c r="K736" s="13"/>
    </row>
    <row r="737">
      <c r="K737" s="13"/>
    </row>
    <row r="738">
      <c r="K738" s="13"/>
    </row>
    <row r="739">
      <c r="K739" s="13"/>
    </row>
    <row r="740">
      <c r="K740" s="13"/>
    </row>
    <row r="741">
      <c r="K741" s="13"/>
    </row>
    <row r="742">
      <c r="K742" s="13"/>
    </row>
    <row r="743">
      <c r="K743" s="13"/>
    </row>
    <row r="744">
      <c r="K744" s="13"/>
    </row>
    <row r="745">
      <c r="K745" s="13"/>
    </row>
    <row r="746">
      <c r="K746" s="13"/>
    </row>
    <row r="747">
      <c r="K747" s="13"/>
    </row>
    <row r="748">
      <c r="K748" s="13"/>
    </row>
    <row r="749">
      <c r="K749" s="13"/>
    </row>
    <row r="750">
      <c r="K750" s="13"/>
    </row>
    <row r="751">
      <c r="K751" s="13"/>
    </row>
    <row r="752">
      <c r="K752" s="13"/>
    </row>
    <row r="753">
      <c r="K753" s="13"/>
    </row>
    <row r="754">
      <c r="K754" s="13"/>
    </row>
    <row r="755">
      <c r="K755" s="13"/>
    </row>
    <row r="756">
      <c r="K756" s="13"/>
    </row>
    <row r="757">
      <c r="K757" s="13"/>
    </row>
    <row r="758">
      <c r="K758" s="13"/>
    </row>
    <row r="759">
      <c r="K759" s="13"/>
    </row>
    <row r="760">
      <c r="K760" s="13"/>
    </row>
    <row r="761">
      <c r="K761" s="13"/>
    </row>
    <row r="762">
      <c r="K762" s="13"/>
    </row>
    <row r="763">
      <c r="K763" s="13"/>
    </row>
    <row r="764">
      <c r="K764" s="13"/>
    </row>
    <row r="765">
      <c r="K765" s="13"/>
    </row>
    <row r="766">
      <c r="K766" s="13"/>
    </row>
    <row r="767">
      <c r="K767" s="13"/>
    </row>
    <row r="768">
      <c r="K768" s="13"/>
    </row>
    <row r="769">
      <c r="K769" s="13"/>
    </row>
    <row r="770">
      <c r="K770" s="13"/>
    </row>
    <row r="771">
      <c r="K771" s="13"/>
    </row>
    <row r="772">
      <c r="K772" s="13"/>
    </row>
    <row r="773">
      <c r="K773" s="13"/>
    </row>
    <row r="774">
      <c r="K774" s="13"/>
    </row>
    <row r="775">
      <c r="K775" s="13"/>
    </row>
    <row r="776">
      <c r="K776" s="13"/>
    </row>
    <row r="777">
      <c r="K777" s="13"/>
    </row>
    <row r="778">
      <c r="K778" s="13"/>
    </row>
    <row r="779">
      <c r="K779" s="13"/>
    </row>
    <row r="780">
      <c r="K780" s="13"/>
    </row>
    <row r="781">
      <c r="K781" s="13"/>
    </row>
    <row r="782">
      <c r="K782" s="13"/>
    </row>
    <row r="783">
      <c r="K783" s="13"/>
    </row>
    <row r="784">
      <c r="K784" s="13"/>
    </row>
    <row r="785">
      <c r="K785" s="13"/>
    </row>
    <row r="786">
      <c r="K786" s="13"/>
    </row>
    <row r="787">
      <c r="K787" s="13"/>
    </row>
    <row r="788">
      <c r="K788" s="13"/>
    </row>
    <row r="789">
      <c r="K789" s="13"/>
    </row>
    <row r="790">
      <c r="K790" s="13"/>
    </row>
    <row r="791">
      <c r="K791" s="13"/>
    </row>
    <row r="792">
      <c r="K792" s="13"/>
    </row>
    <row r="793">
      <c r="K793" s="13"/>
    </row>
    <row r="794">
      <c r="K794" s="13"/>
    </row>
    <row r="795">
      <c r="K795" s="13"/>
    </row>
    <row r="796">
      <c r="K796" s="13"/>
    </row>
    <row r="797">
      <c r="K797" s="13"/>
    </row>
    <row r="798">
      <c r="K798" s="13"/>
    </row>
    <row r="799">
      <c r="K799" s="13"/>
    </row>
    <row r="800">
      <c r="K800" s="13"/>
    </row>
    <row r="801">
      <c r="K801" s="13"/>
    </row>
    <row r="802">
      <c r="K802" s="13"/>
    </row>
    <row r="803">
      <c r="K803" s="13"/>
    </row>
    <row r="804">
      <c r="K804" s="13"/>
    </row>
    <row r="805">
      <c r="K805" s="13"/>
    </row>
    <row r="806">
      <c r="K806" s="13"/>
    </row>
    <row r="807">
      <c r="K807" s="13"/>
    </row>
    <row r="808">
      <c r="K808" s="13"/>
    </row>
    <row r="809">
      <c r="K809" s="13"/>
    </row>
    <row r="810">
      <c r="K810" s="13"/>
    </row>
    <row r="811">
      <c r="K811" s="13"/>
    </row>
    <row r="812">
      <c r="K812" s="13"/>
    </row>
    <row r="813">
      <c r="K813" s="13"/>
    </row>
    <row r="814">
      <c r="K814" s="13"/>
    </row>
    <row r="815">
      <c r="K815" s="13"/>
    </row>
    <row r="816">
      <c r="K816" s="13"/>
    </row>
    <row r="817">
      <c r="K817" s="13"/>
    </row>
    <row r="818">
      <c r="K818" s="13"/>
    </row>
    <row r="819">
      <c r="K819" s="13"/>
    </row>
    <row r="820">
      <c r="K820" s="13"/>
    </row>
    <row r="821">
      <c r="K821" s="13"/>
    </row>
    <row r="822">
      <c r="K822" s="13"/>
    </row>
    <row r="823">
      <c r="K823" s="13"/>
    </row>
    <row r="824">
      <c r="K824" s="13"/>
    </row>
    <row r="825">
      <c r="K825" s="13"/>
    </row>
    <row r="826">
      <c r="K826" s="13"/>
    </row>
    <row r="827">
      <c r="K827" s="13"/>
    </row>
    <row r="828">
      <c r="K828" s="13"/>
    </row>
    <row r="829">
      <c r="K829" s="13"/>
    </row>
    <row r="830">
      <c r="K830" s="13"/>
    </row>
    <row r="831">
      <c r="K831" s="13"/>
    </row>
    <row r="832">
      <c r="K832" s="13"/>
    </row>
    <row r="833">
      <c r="K833" s="13"/>
    </row>
    <row r="834">
      <c r="K834" s="13"/>
    </row>
    <row r="835">
      <c r="K835" s="13"/>
    </row>
    <row r="836">
      <c r="K836" s="13"/>
    </row>
    <row r="837">
      <c r="K837" s="13"/>
    </row>
    <row r="838">
      <c r="K838" s="13"/>
    </row>
    <row r="839">
      <c r="K839" s="13"/>
    </row>
    <row r="840">
      <c r="K840" s="13"/>
    </row>
    <row r="841">
      <c r="K841" s="13"/>
    </row>
    <row r="842">
      <c r="K842" s="13"/>
    </row>
    <row r="843">
      <c r="K843" s="13"/>
    </row>
    <row r="844">
      <c r="K844" s="13"/>
    </row>
    <row r="845">
      <c r="K845" s="13"/>
    </row>
    <row r="846">
      <c r="K846" s="13"/>
    </row>
    <row r="847">
      <c r="K847" s="13"/>
    </row>
    <row r="848">
      <c r="K848" s="13"/>
    </row>
    <row r="849">
      <c r="K849" s="13"/>
    </row>
    <row r="850">
      <c r="K850" s="13"/>
    </row>
    <row r="851">
      <c r="K851" s="13"/>
    </row>
    <row r="852">
      <c r="K852" s="13"/>
    </row>
    <row r="853">
      <c r="K853" s="13"/>
    </row>
    <row r="854">
      <c r="K854" s="13"/>
    </row>
    <row r="855">
      <c r="K855" s="13"/>
    </row>
    <row r="856">
      <c r="K856" s="13"/>
    </row>
    <row r="857">
      <c r="K857" s="13"/>
    </row>
    <row r="858">
      <c r="K858" s="13"/>
    </row>
    <row r="859">
      <c r="K859" s="13"/>
    </row>
    <row r="860">
      <c r="K860" s="13"/>
    </row>
    <row r="861">
      <c r="K861" s="13"/>
    </row>
    <row r="862">
      <c r="K862" s="13"/>
    </row>
    <row r="863">
      <c r="K863" s="13"/>
    </row>
    <row r="864">
      <c r="K864" s="13"/>
    </row>
    <row r="865">
      <c r="K865" s="13"/>
    </row>
    <row r="866">
      <c r="K866" s="13"/>
    </row>
    <row r="867">
      <c r="K867" s="13"/>
    </row>
    <row r="868">
      <c r="K868" s="13"/>
    </row>
    <row r="869">
      <c r="K869" s="13"/>
    </row>
    <row r="870">
      <c r="K870" s="13"/>
    </row>
    <row r="871">
      <c r="K871" s="13"/>
    </row>
    <row r="872">
      <c r="K872" s="13"/>
    </row>
    <row r="873">
      <c r="K873" s="13"/>
    </row>
    <row r="874">
      <c r="K874" s="13"/>
    </row>
    <row r="875">
      <c r="K875" s="13"/>
    </row>
    <row r="876">
      <c r="K876" s="13"/>
    </row>
    <row r="877">
      <c r="K877" s="13"/>
    </row>
    <row r="878">
      <c r="K878" s="13"/>
    </row>
    <row r="879">
      <c r="K879" s="13"/>
    </row>
    <row r="880">
      <c r="K880" s="13"/>
    </row>
    <row r="881">
      <c r="K881" s="13"/>
    </row>
    <row r="882">
      <c r="K882" s="13"/>
    </row>
    <row r="883">
      <c r="K883" s="13"/>
    </row>
    <row r="884">
      <c r="K884" s="13"/>
    </row>
    <row r="885">
      <c r="K885" s="13"/>
    </row>
    <row r="886">
      <c r="K886" s="13"/>
    </row>
    <row r="887">
      <c r="K887" s="13"/>
    </row>
    <row r="888">
      <c r="K888" s="13"/>
    </row>
    <row r="889">
      <c r="K889" s="13"/>
    </row>
    <row r="890">
      <c r="K890" s="13"/>
    </row>
    <row r="891">
      <c r="K891" s="13"/>
    </row>
    <row r="892">
      <c r="K892" s="13"/>
    </row>
    <row r="893">
      <c r="K893" s="13"/>
    </row>
    <row r="894">
      <c r="K894" s="13"/>
    </row>
    <row r="895">
      <c r="K895" s="13"/>
    </row>
    <row r="896">
      <c r="K896" s="13"/>
    </row>
    <row r="897">
      <c r="K897" s="13"/>
    </row>
    <row r="898">
      <c r="K898" s="13"/>
    </row>
    <row r="899">
      <c r="K899" s="13"/>
    </row>
    <row r="900">
      <c r="K900" s="13"/>
    </row>
    <row r="901">
      <c r="K901" s="13"/>
    </row>
    <row r="902">
      <c r="K902" s="13"/>
    </row>
    <row r="903">
      <c r="K903" s="13"/>
    </row>
    <row r="904">
      <c r="K904" s="13"/>
    </row>
    <row r="905">
      <c r="K905" s="13"/>
    </row>
    <row r="906">
      <c r="K906" s="13"/>
    </row>
    <row r="907">
      <c r="K907" s="13"/>
    </row>
    <row r="908">
      <c r="K908" s="13"/>
    </row>
    <row r="909">
      <c r="K909" s="13"/>
    </row>
    <row r="910">
      <c r="K910" s="13"/>
    </row>
    <row r="911">
      <c r="K911" s="13"/>
    </row>
    <row r="912">
      <c r="K912" s="13"/>
    </row>
    <row r="913">
      <c r="K913" s="13"/>
    </row>
    <row r="914">
      <c r="K914" s="13"/>
    </row>
    <row r="915">
      <c r="K915" s="13"/>
    </row>
    <row r="916">
      <c r="K916" s="13"/>
    </row>
    <row r="917">
      <c r="K917" s="13"/>
    </row>
    <row r="918">
      <c r="K918" s="13"/>
    </row>
    <row r="919">
      <c r="K919" s="13"/>
    </row>
    <row r="920">
      <c r="K920" s="13"/>
    </row>
    <row r="921">
      <c r="K921" s="13"/>
    </row>
    <row r="922">
      <c r="K922" s="13"/>
    </row>
    <row r="923">
      <c r="K923" s="13"/>
    </row>
    <row r="924">
      <c r="K924" s="13"/>
    </row>
    <row r="925">
      <c r="K925" s="13"/>
    </row>
    <row r="926">
      <c r="K926" s="13"/>
    </row>
    <row r="927">
      <c r="K927" s="13"/>
    </row>
    <row r="928">
      <c r="K928" s="13"/>
    </row>
    <row r="929">
      <c r="K929" s="13"/>
    </row>
    <row r="930">
      <c r="K930" s="13"/>
    </row>
    <row r="931">
      <c r="K931" s="13"/>
    </row>
    <row r="932">
      <c r="K932" s="13"/>
    </row>
    <row r="933">
      <c r="K933" s="13"/>
    </row>
    <row r="934">
      <c r="K934" s="13"/>
    </row>
    <row r="935">
      <c r="K935" s="13"/>
    </row>
    <row r="936">
      <c r="K936" s="13"/>
    </row>
    <row r="937">
      <c r="K937" s="13"/>
    </row>
    <row r="938">
      <c r="K938" s="13"/>
    </row>
    <row r="939">
      <c r="K939" s="13"/>
    </row>
    <row r="940">
      <c r="K940" s="13"/>
    </row>
    <row r="941">
      <c r="K941" s="13"/>
    </row>
    <row r="942">
      <c r="K942" s="13"/>
    </row>
    <row r="943">
      <c r="K943" s="13"/>
    </row>
    <row r="944">
      <c r="K944" s="13"/>
    </row>
    <row r="945">
      <c r="K945" s="13"/>
    </row>
    <row r="946">
      <c r="K946" s="13"/>
    </row>
    <row r="947">
      <c r="K947" s="13"/>
    </row>
    <row r="948">
      <c r="K948" s="13"/>
    </row>
    <row r="949">
      <c r="K949" s="13"/>
    </row>
    <row r="950">
      <c r="K950" s="13"/>
    </row>
    <row r="951">
      <c r="K951" s="13"/>
    </row>
    <row r="952">
      <c r="K952" s="13"/>
    </row>
    <row r="953">
      <c r="K953" s="13"/>
    </row>
    <row r="954">
      <c r="K954" s="13"/>
    </row>
    <row r="955">
      <c r="K955" s="13"/>
    </row>
    <row r="956">
      <c r="K956" s="13"/>
    </row>
    <row r="957">
      <c r="K957" s="13"/>
    </row>
    <row r="958">
      <c r="K958" s="13"/>
    </row>
    <row r="959">
      <c r="K959" s="13"/>
    </row>
    <row r="960">
      <c r="K960" s="13"/>
    </row>
    <row r="961">
      <c r="K961" s="13"/>
    </row>
    <row r="962">
      <c r="K962" s="13"/>
    </row>
    <row r="963">
      <c r="K963" s="13"/>
    </row>
    <row r="964">
      <c r="K964" s="13"/>
    </row>
    <row r="965">
      <c r="K965" s="13"/>
    </row>
    <row r="966">
      <c r="K966" s="13"/>
    </row>
    <row r="967">
      <c r="K967" s="13"/>
    </row>
    <row r="968">
      <c r="K968" s="13"/>
    </row>
    <row r="969">
      <c r="K969" s="13"/>
    </row>
    <row r="970">
      <c r="K970" s="13"/>
    </row>
    <row r="971">
      <c r="K971" s="13"/>
    </row>
    <row r="972">
      <c r="K972" s="13"/>
    </row>
    <row r="973">
      <c r="K973" s="13"/>
    </row>
    <row r="974">
      <c r="K974" s="13"/>
    </row>
    <row r="975">
      <c r="K975" s="13"/>
    </row>
    <row r="976">
      <c r="K976" s="13"/>
    </row>
    <row r="977">
      <c r="K977" s="13"/>
    </row>
    <row r="978">
      <c r="K978" s="13"/>
    </row>
    <row r="979">
      <c r="K979" s="13"/>
    </row>
    <row r="980">
      <c r="K980" s="13"/>
    </row>
    <row r="981">
      <c r="K981"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13"/>
  </cols>
  <sheetData>
    <row r="1">
      <c r="A1" s="8" t="s">
        <v>2044</v>
      </c>
      <c r="B1" s="8" t="s">
        <v>2045</v>
      </c>
      <c r="C1" s="8" t="s">
        <v>2046</v>
      </c>
      <c r="D1" s="8"/>
    </row>
    <row r="2">
      <c r="A2" s="14"/>
      <c r="B2" s="8"/>
      <c r="C2" s="14"/>
      <c r="D2" s="14"/>
    </row>
    <row r="3">
      <c r="A3" s="14"/>
      <c r="B3" s="8"/>
      <c r="C3" s="14"/>
      <c r="D3" s="14"/>
    </row>
    <row r="4">
      <c r="A4" s="14"/>
      <c r="B4" s="8"/>
      <c r="C4" s="14"/>
      <c r="D4" s="14"/>
    </row>
    <row r="5">
      <c r="A5" s="15" t="s">
        <v>0</v>
      </c>
      <c r="B5" s="8"/>
      <c r="C5" s="14"/>
      <c r="D5" s="14"/>
    </row>
    <row r="6">
      <c r="A6" s="8" t="s">
        <v>1</v>
      </c>
      <c r="B6" s="8"/>
      <c r="C6" s="14"/>
      <c r="D6" s="14"/>
    </row>
    <row r="7">
      <c r="A7" s="8" t="s">
        <v>2</v>
      </c>
      <c r="B7" s="8"/>
      <c r="C7" s="8"/>
      <c r="D7" s="14"/>
    </row>
    <row r="8">
      <c r="A8" s="8" t="s">
        <v>3</v>
      </c>
      <c r="B8" s="8"/>
      <c r="C8" s="8"/>
      <c r="D8" s="14"/>
    </row>
    <row r="9">
      <c r="A9" s="8" t="s">
        <v>4</v>
      </c>
      <c r="B9" s="8"/>
      <c r="C9" s="14"/>
      <c r="D9" s="14"/>
    </row>
    <row r="10">
      <c r="A10" s="8" t="s">
        <v>5</v>
      </c>
      <c r="B10" s="8"/>
      <c r="C10" s="14"/>
      <c r="D10" s="14"/>
    </row>
    <row r="11">
      <c r="A11" s="8" t="s">
        <v>6</v>
      </c>
      <c r="B11" s="8"/>
      <c r="C11" s="14"/>
      <c r="D11" s="14"/>
    </row>
    <row r="12">
      <c r="A12" s="8" t="s">
        <v>7</v>
      </c>
      <c r="B12" s="4"/>
      <c r="C12" s="14"/>
      <c r="D12" s="14"/>
    </row>
    <row r="13">
      <c r="A13" s="8" t="s">
        <v>8</v>
      </c>
      <c r="B13" s="6"/>
      <c r="C13" s="8"/>
      <c r="D13" s="14"/>
    </row>
    <row r="14">
      <c r="A14" s="8" t="s">
        <v>9</v>
      </c>
      <c r="B14" s="6"/>
      <c r="C14" s="16" t="str">
        <f>IF(A14=B14, "Entry is True", "Check this Entry")</f>
        <v>Check this Entry</v>
      </c>
      <c r="D14" s="14"/>
    </row>
    <row r="15">
      <c r="A15" s="8"/>
      <c r="B15" s="8"/>
      <c r="C15" s="16"/>
      <c r="D15" s="6"/>
    </row>
    <row r="16">
      <c r="B16" s="8"/>
    </row>
    <row r="21">
      <c r="A21" s="17"/>
    </row>
    <row r="22">
      <c r="A22" s="18"/>
    </row>
    <row r="23">
      <c r="A23" s="18"/>
    </row>
    <row r="24">
      <c r="A24" s="18"/>
    </row>
    <row r="25">
      <c r="A25" s="18"/>
    </row>
    <row r="26">
      <c r="A26" s="18"/>
    </row>
    <row r="27">
      <c r="A27" s="18"/>
    </row>
    <row r="28">
      <c r="A28" s="18"/>
    </row>
    <row r="29">
      <c r="A29" s="18"/>
    </row>
    <row r="30">
      <c r="A30" s="18"/>
    </row>
    <row r="31">
      <c r="A31" s="18"/>
      <c r="C31" s="16"/>
    </row>
    <row r="32">
      <c r="A32" s="18"/>
      <c r="C32" s="16"/>
    </row>
    <row r="33">
      <c r="A33" s="17"/>
    </row>
    <row r="34">
      <c r="A34" s="17"/>
    </row>
    <row r="35">
      <c r="A35" s="17"/>
    </row>
    <row r="36">
      <c r="A36" s="17"/>
    </row>
    <row r="37">
      <c r="A37" s="17"/>
    </row>
    <row r="38">
      <c r="A38" s="17"/>
    </row>
    <row r="39">
      <c r="A39" s="18"/>
    </row>
    <row r="40">
      <c r="A40" s="18"/>
    </row>
    <row r="41">
      <c r="A41" s="18"/>
    </row>
    <row r="42">
      <c r="A42" s="18"/>
    </row>
    <row r="43">
      <c r="A43" s="18"/>
    </row>
    <row r="44">
      <c r="A44" s="18"/>
    </row>
    <row r="45">
      <c r="A45" s="18"/>
    </row>
    <row r="46">
      <c r="A46" s="18"/>
    </row>
    <row r="47">
      <c r="A47" s="18"/>
    </row>
    <row r="48">
      <c r="A48" s="18"/>
      <c r="C48" s="16"/>
    </row>
    <row r="49">
      <c r="A49" s="18"/>
      <c r="C49" s="16"/>
    </row>
    <row r="50">
      <c r="A50" s="17"/>
    </row>
    <row r="51">
      <c r="A51" s="17"/>
    </row>
    <row r="52">
      <c r="A52" s="17"/>
    </row>
    <row r="53">
      <c r="A53" s="17"/>
    </row>
    <row r="54">
      <c r="A54" s="17"/>
    </row>
    <row r="55">
      <c r="A55" s="17"/>
    </row>
    <row r="56">
      <c r="A56" s="18"/>
    </row>
    <row r="57">
      <c r="A57" s="18"/>
    </row>
    <row r="58">
      <c r="A58" s="18"/>
    </row>
    <row r="59">
      <c r="A59" s="18"/>
    </row>
    <row r="60">
      <c r="A60" s="18"/>
    </row>
    <row r="61">
      <c r="A61" s="18"/>
    </row>
    <row r="62">
      <c r="A62" s="18"/>
    </row>
    <row r="63">
      <c r="A63" s="18"/>
    </row>
    <row r="64">
      <c r="A64" s="18"/>
    </row>
    <row r="65">
      <c r="A65" s="18"/>
      <c r="C65" s="16"/>
    </row>
    <row r="66">
      <c r="A66" s="18"/>
      <c r="C66" s="16"/>
    </row>
    <row r="67">
      <c r="A67" s="17"/>
    </row>
    <row r="68">
      <c r="A68" s="17"/>
    </row>
    <row r="69">
      <c r="A69" s="17"/>
    </row>
    <row r="70">
      <c r="A70" s="17"/>
    </row>
    <row r="71">
      <c r="A71" s="17"/>
    </row>
    <row r="72">
      <c r="A72" s="17"/>
    </row>
    <row r="73">
      <c r="A73" s="18"/>
    </row>
    <row r="74">
      <c r="A74" s="18"/>
    </row>
    <row r="75">
      <c r="A75" s="18"/>
    </row>
    <row r="76">
      <c r="A76" s="18"/>
    </row>
    <row r="77">
      <c r="A77" s="18"/>
    </row>
    <row r="78">
      <c r="A78" s="18"/>
    </row>
    <row r="79">
      <c r="A79" s="18"/>
    </row>
    <row r="80">
      <c r="A80" s="18"/>
    </row>
    <row r="81">
      <c r="A81" s="18"/>
    </row>
    <row r="82">
      <c r="A82" s="18"/>
      <c r="C82" s="16"/>
    </row>
    <row r="83">
      <c r="A83" s="18"/>
      <c r="C83" s="16"/>
    </row>
    <row r="84">
      <c r="A84" s="17"/>
    </row>
    <row r="85">
      <c r="A85" s="17"/>
    </row>
    <row r="86">
      <c r="A86" s="17"/>
    </row>
    <row r="87">
      <c r="A87" s="17"/>
    </row>
    <row r="88">
      <c r="A88" s="17"/>
    </row>
    <row r="89">
      <c r="A89" s="17"/>
    </row>
    <row r="90">
      <c r="A90" s="18"/>
    </row>
    <row r="91">
      <c r="A91" s="18"/>
    </row>
    <row r="92">
      <c r="A92" s="18"/>
    </row>
    <row r="93">
      <c r="A93" s="18"/>
    </row>
    <row r="94">
      <c r="A94" s="18"/>
    </row>
    <row r="95">
      <c r="A95" s="18"/>
    </row>
    <row r="96">
      <c r="A96" s="18"/>
    </row>
    <row r="97">
      <c r="A97" s="18"/>
    </row>
    <row r="98">
      <c r="A98" s="18"/>
    </row>
    <row r="99">
      <c r="A99" s="18"/>
      <c r="C99" s="16"/>
    </row>
    <row r="100">
      <c r="A100" s="18"/>
      <c r="C100" s="16"/>
    </row>
    <row r="101">
      <c r="A101" s="17"/>
    </row>
    <row r="102">
      <c r="A102" s="17"/>
    </row>
    <row r="103">
      <c r="A103" s="17"/>
    </row>
    <row r="104">
      <c r="A104" s="17"/>
    </row>
    <row r="105">
      <c r="A105" s="17"/>
    </row>
    <row r="106">
      <c r="A106" s="17"/>
    </row>
    <row r="107">
      <c r="A107" s="18"/>
    </row>
    <row r="108">
      <c r="A108" s="18"/>
    </row>
    <row r="109">
      <c r="A109" s="18"/>
    </row>
    <row r="110">
      <c r="A110" s="18"/>
    </row>
    <row r="111">
      <c r="A111" s="18"/>
    </row>
    <row r="112">
      <c r="A112" s="18"/>
    </row>
    <row r="113">
      <c r="A113" s="18"/>
    </row>
    <row r="114">
      <c r="A114" s="18"/>
    </row>
    <row r="115">
      <c r="A115" s="18"/>
    </row>
    <row r="116">
      <c r="A116" s="18"/>
      <c r="C116" s="16"/>
    </row>
    <row r="117">
      <c r="A117" s="18"/>
      <c r="C117" s="16"/>
    </row>
    <row r="118">
      <c r="A118" s="17"/>
    </row>
    <row r="119">
      <c r="A119" s="17"/>
    </row>
    <row r="120">
      <c r="A120" s="17"/>
    </row>
    <row r="121">
      <c r="A121" s="17"/>
    </row>
    <row r="122">
      <c r="A122" s="17"/>
    </row>
    <row r="123">
      <c r="A123" s="17"/>
    </row>
    <row r="124">
      <c r="A124" s="18"/>
    </row>
    <row r="125">
      <c r="A125" s="18"/>
    </row>
    <row r="126">
      <c r="A126" s="18"/>
    </row>
    <row r="127">
      <c r="A127" s="18"/>
    </row>
    <row r="128">
      <c r="A128" s="18"/>
    </row>
    <row r="129">
      <c r="A129" s="18"/>
    </row>
    <row r="130">
      <c r="A130" s="18"/>
    </row>
    <row r="131">
      <c r="A131" s="18"/>
    </row>
    <row r="132">
      <c r="A132" s="18"/>
    </row>
    <row r="133">
      <c r="A133" s="18"/>
      <c r="C133" s="16"/>
    </row>
    <row r="134">
      <c r="A134" s="18"/>
      <c r="C134" s="16"/>
    </row>
    <row r="135">
      <c r="A135" s="17"/>
    </row>
    <row r="136">
      <c r="A136" s="17"/>
    </row>
    <row r="137">
      <c r="A137" s="17"/>
    </row>
    <row r="138">
      <c r="A138" s="17"/>
    </row>
    <row r="139">
      <c r="A139" s="17"/>
    </row>
    <row r="140">
      <c r="A140" s="17"/>
    </row>
    <row r="141">
      <c r="A141" s="18"/>
    </row>
    <row r="142">
      <c r="A142" s="18"/>
    </row>
    <row r="143">
      <c r="A143" s="18"/>
    </row>
    <row r="144">
      <c r="A144" s="18"/>
    </row>
    <row r="145">
      <c r="A145" s="18"/>
    </row>
    <row r="146">
      <c r="A146" s="18"/>
    </row>
    <row r="147">
      <c r="A147" s="18"/>
    </row>
    <row r="148">
      <c r="A148" s="18"/>
    </row>
    <row r="149">
      <c r="A149" s="18"/>
    </row>
    <row r="150">
      <c r="A150" s="18"/>
      <c r="C150" s="16"/>
    </row>
    <row r="151">
      <c r="A151" s="18"/>
      <c r="C151" s="16"/>
    </row>
    <row r="152">
      <c r="A152" s="17"/>
    </row>
    <row r="153">
      <c r="A153" s="17"/>
    </row>
    <row r="154">
      <c r="A154" s="17"/>
    </row>
    <row r="155">
      <c r="A155" s="17"/>
    </row>
    <row r="156">
      <c r="A156" s="17"/>
    </row>
    <row r="157">
      <c r="A157" s="17"/>
    </row>
    <row r="158">
      <c r="A158" s="18"/>
    </row>
    <row r="159">
      <c r="A159" s="18"/>
    </row>
    <row r="160">
      <c r="A160" s="18"/>
    </row>
    <row r="161">
      <c r="A161" s="18"/>
    </row>
    <row r="162">
      <c r="A162" s="18"/>
    </row>
    <row r="163">
      <c r="A163" s="18"/>
    </row>
    <row r="164">
      <c r="A164" s="18"/>
    </row>
    <row r="165">
      <c r="A165" s="18"/>
    </row>
    <row r="166">
      <c r="A166" s="18"/>
    </row>
    <row r="167">
      <c r="A167" s="18"/>
      <c r="C167" s="16"/>
    </row>
    <row r="168">
      <c r="A168" s="18"/>
      <c r="C168" s="16"/>
    </row>
    <row r="169">
      <c r="A169" s="17"/>
    </row>
    <row r="170">
      <c r="A170" s="17"/>
    </row>
    <row r="171">
      <c r="A171" s="17"/>
    </row>
    <row r="172">
      <c r="A172" s="17"/>
    </row>
    <row r="173">
      <c r="A173" s="17"/>
    </row>
    <row r="174">
      <c r="A174" s="17"/>
    </row>
    <row r="175">
      <c r="A175" s="18"/>
    </row>
    <row r="176">
      <c r="A176" s="18"/>
    </row>
    <row r="177">
      <c r="A177" s="18"/>
    </row>
    <row r="178">
      <c r="A178" s="18"/>
    </row>
    <row r="179">
      <c r="A179" s="18"/>
    </row>
    <row r="180">
      <c r="A180" s="18"/>
    </row>
    <row r="181">
      <c r="A181" s="18"/>
    </row>
    <row r="182">
      <c r="A182" s="18"/>
    </row>
    <row r="183">
      <c r="A183" s="18"/>
    </row>
    <row r="184">
      <c r="A184" s="18"/>
      <c r="C184" s="16"/>
    </row>
    <row r="185">
      <c r="A185" s="18"/>
      <c r="C185" s="16"/>
    </row>
    <row r="186">
      <c r="A186" s="17"/>
    </row>
    <row r="187">
      <c r="A187" s="17"/>
    </row>
    <row r="188">
      <c r="A188" s="17"/>
    </row>
    <row r="189">
      <c r="A189" s="17"/>
    </row>
    <row r="190">
      <c r="A190" s="17"/>
    </row>
    <row r="191">
      <c r="A191" s="17"/>
    </row>
    <row r="192">
      <c r="A192" s="18"/>
    </row>
    <row r="193">
      <c r="A193" s="18"/>
    </row>
    <row r="194">
      <c r="A194" s="18"/>
    </row>
    <row r="195">
      <c r="A195" s="18"/>
    </row>
    <row r="196">
      <c r="A196" s="18"/>
    </row>
    <row r="197">
      <c r="A197" s="18"/>
    </row>
    <row r="198">
      <c r="A198" s="18"/>
    </row>
    <row r="199">
      <c r="A199" s="18"/>
    </row>
    <row r="200">
      <c r="A200" s="18"/>
    </row>
    <row r="201">
      <c r="A201" s="18"/>
      <c r="C201" s="16"/>
    </row>
    <row r="202">
      <c r="A202" s="18"/>
      <c r="C202" s="16"/>
    </row>
    <row r="203">
      <c r="A203" s="17"/>
    </row>
    <row r="204">
      <c r="A204" s="17"/>
    </row>
    <row r="205">
      <c r="A205" s="17"/>
    </row>
    <row r="206">
      <c r="A206" s="17"/>
    </row>
    <row r="207">
      <c r="A207" s="17"/>
    </row>
    <row r="208">
      <c r="A208" s="17"/>
    </row>
    <row r="209">
      <c r="A209" s="18"/>
    </row>
    <row r="210">
      <c r="A210" s="18"/>
    </row>
    <row r="211">
      <c r="A211" s="18"/>
    </row>
    <row r="212">
      <c r="A212" s="18"/>
    </row>
    <row r="213">
      <c r="A213" s="18"/>
    </row>
    <row r="214">
      <c r="A214" s="18"/>
    </row>
    <row r="215">
      <c r="A215" s="18"/>
    </row>
    <row r="216">
      <c r="A216" s="18"/>
    </row>
    <row r="217">
      <c r="A217" s="18"/>
    </row>
    <row r="218">
      <c r="A218" s="18"/>
      <c r="C218" s="16"/>
    </row>
    <row r="219">
      <c r="A219" s="18"/>
      <c r="C219" s="16"/>
    </row>
    <row r="220">
      <c r="A220" s="17"/>
    </row>
    <row r="221">
      <c r="A221" s="17"/>
    </row>
    <row r="222">
      <c r="A222" s="17"/>
    </row>
    <row r="223">
      <c r="A223" s="17"/>
    </row>
    <row r="224">
      <c r="A224" s="17"/>
    </row>
    <row r="225">
      <c r="A225" s="17"/>
    </row>
    <row r="226">
      <c r="A226" s="18"/>
    </row>
    <row r="227">
      <c r="A227" s="18"/>
    </row>
    <row r="228">
      <c r="A228" s="18"/>
    </row>
    <row r="229">
      <c r="A229" s="18"/>
    </row>
    <row r="230">
      <c r="A230" s="18"/>
    </row>
    <row r="231">
      <c r="A231" s="18"/>
    </row>
    <row r="232">
      <c r="A232" s="18"/>
    </row>
    <row r="233">
      <c r="A233" s="18"/>
    </row>
    <row r="234">
      <c r="A234" s="18"/>
    </row>
    <row r="235">
      <c r="A235" s="18"/>
      <c r="C235" s="16"/>
    </row>
    <row r="236">
      <c r="A236" s="18"/>
      <c r="C236" s="16"/>
    </row>
    <row r="237">
      <c r="A237" s="17"/>
    </row>
    <row r="238">
      <c r="A238" s="17"/>
    </row>
    <row r="239">
      <c r="A239" s="17"/>
    </row>
    <row r="240">
      <c r="A240" s="17"/>
    </row>
    <row r="241">
      <c r="A241" s="17"/>
    </row>
    <row r="242">
      <c r="A242" s="17"/>
    </row>
    <row r="243">
      <c r="A243" s="18"/>
    </row>
    <row r="244">
      <c r="A244" s="18"/>
    </row>
    <row r="245">
      <c r="A245" s="18"/>
    </row>
    <row r="246">
      <c r="A246" s="18"/>
    </row>
    <row r="247">
      <c r="A247" s="18"/>
    </row>
    <row r="248">
      <c r="A248" s="18"/>
    </row>
    <row r="249">
      <c r="A249" s="18"/>
    </row>
    <row r="250">
      <c r="A250" s="18"/>
    </row>
    <row r="251">
      <c r="A251" s="18"/>
    </row>
    <row r="252">
      <c r="A252" s="18"/>
      <c r="C252" s="16"/>
    </row>
    <row r="253">
      <c r="A253" s="18"/>
      <c r="C253" s="16"/>
    </row>
    <row r="254">
      <c r="A254" s="17"/>
    </row>
    <row r="255">
      <c r="A255" s="17"/>
    </row>
    <row r="256">
      <c r="A256" s="17"/>
    </row>
    <row r="257">
      <c r="A257" s="17"/>
    </row>
    <row r="258">
      <c r="A258" s="17"/>
    </row>
    <row r="259">
      <c r="A259" s="17"/>
    </row>
    <row r="260">
      <c r="A260" s="18"/>
    </row>
    <row r="261">
      <c r="A261" s="18"/>
    </row>
    <row r="262">
      <c r="A262" s="18"/>
    </row>
    <row r="263">
      <c r="A263" s="18"/>
    </row>
    <row r="264">
      <c r="A264" s="18"/>
    </row>
    <row r="265">
      <c r="A265" s="18"/>
    </row>
    <row r="266">
      <c r="A266" s="18"/>
    </row>
    <row r="267">
      <c r="A267" s="18"/>
    </row>
    <row r="268">
      <c r="A268" s="18"/>
    </row>
    <row r="269">
      <c r="A269" s="18"/>
      <c r="C269" s="16"/>
    </row>
    <row r="270">
      <c r="A270" s="18"/>
      <c r="C270" s="16"/>
    </row>
    <row r="271">
      <c r="A271" s="17"/>
    </row>
    <row r="272">
      <c r="A272" s="17"/>
    </row>
    <row r="273">
      <c r="A273" s="17"/>
    </row>
    <row r="274">
      <c r="A274" s="17"/>
    </row>
    <row r="275">
      <c r="A275" s="17"/>
    </row>
    <row r="276">
      <c r="A276" s="17"/>
    </row>
    <row r="277">
      <c r="A277" s="18"/>
    </row>
    <row r="278">
      <c r="A278" s="18"/>
    </row>
    <row r="279">
      <c r="A279" s="18"/>
    </row>
    <row r="280">
      <c r="A280" s="18"/>
    </row>
    <row r="281">
      <c r="A281" s="18"/>
    </row>
    <row r="282">
      <c r="A282" s="18"/>
    </row>
    <row r="283">
      <c r="A283" s="18"/>
    </row>
    <row r="284">
      <c r="A284" s="18"/>
    </row>
    <row r="285">
      <c r="A285" s="18"/>
    </row>
    <row r="286">
      <c r="A286" s="18"/>
      <c r="C286" s="16"/>
    </row>
    <row r="287">
      <c r="A287" s="18"/>
      <c r="C287" s="16"/>
    </row>
    <row r="288">
      <c r="A288" s="17"/>
    </row>
    <row r="289">
      <c r="A289" s="17"/>
    </row>
    <row r="290">
      <c r="A290" s="17"/>
    </row>
    <row r="291">
      <c r="A291" s="17"/>
    </row>
    <row r="292">
      <c r="A292" s="17"/>
    </row>
    <row r="293">
      <c r="A293" s="17"/>
    </row>
    <row r="294">
      <c r="A294" s="18"/>
    </row>
    <row r="295">
      <c r="A295" s="18"/>
    </row>
    <row r="296">
      <c r="A296" s="18"/>
    </row>
    <row r="297">
      <c r="A297" s="18"/>
    </row>
    <row r="298">
      <c r="A298" s="18"/>
    </row>
    <row r="299">
      <c r="A299" s="18"/>
    </row>
    <row r="300">
      <c r="A300" s="18"/>
    </row>
    <row r="301">
      <c r="A301" s="18"/>
    </row>
    <row r="302">
      <c r="A302" s="18"/>
    </row>
    <row r="303">
      <c r="A303" s="18"/>
      <c r="C303" s="16"/>
    </row>
    <row r="304">
      <c r="A304" s="18"/>
      <c r="C304" s="16"/>
    </row>
    <row r="305">
      <c r="A305" s="17"/>
    </row>
    <row r="306">
      <c r="A306" s="17"/>
    </row>
    <row r="307">
      <c r="A307" s="17"/>
    </row>
    <row r="308">
      <c r="A308" s="17"/>
    </row>
    <row r="309">
      <c r="A309" s="17"/>
    </row>
    <row r="310">
      <c r="A310" s="17"/>
    </row>
    <row r="311">
      <c r="A311" s="18"/>
    </row>
    <row r="312">
      <c r="A312" s="18"/>
    </row>
    <row r="313">
      <c r="A313" s="18"/>
    </row>
    <row r="314">
      <c r="A314" s="18"/>
    </row>
    <row r="315">
      <c r="A315" s="18"/>
    </row>
    <row r="316">
      <c r="A316" s="18"/>
    </row>
    <row r="317">
      <c r="A317" s="18"/>
    </row>
    <row r="318">
      <c r="A318" s="18"/>
    </row>
    <row r="319">
      <c r="A319" s="18"/>
    </row>
    <row r="320">
      <c r="A320" s="18"/>
      <c r="C320" s="16"/>
    </row>
    <row r="321">
      <c r="A321" s="18"/>
      <c r="C321" s="16"/>
    </row>
    <row r="322">
      <c r="A322" s="17"/>
    </row>
    <row r="323">
      <c r="A323" s="17"/>
    </row>
    <row r="324">
      <c r="A324" s="17"/>
    </row>
    <row r="325">
      <c r="A325" s="17"/>
    </row>
    <row r="326">
      <c r="A326" s="17"/>
    </row>
    <row r="327">
      <c r="A327" s="17"/>
    </row>
    <row r="328">
      <c r="A328" s="18"/>
    </row>
    <row r="329">
      <c r="A329" s="18"/>
    </row>
    <row r="330">
      <c r="A330" s="18"/>
    </row>
    <row r="331">
      <c r="A331" s="18"/>
    </row>
    <row r="332">
      <c r="A332" s="18"/>
    </row>
    <row r="333">
      <c r="A333" s="18"/>
    </row>
    <row r="334">
      <c r="A334" s="18"/>
    </row>
    <row r="335">
      <c r="A335" s="18"/>
    </row>
    <row r="336">
      <c r="A336" s="18"/>
    </row>
    <row r="337">
      <c r="A337" s="18"/>
      <c r="C337" s="16"/>
    </row>
    <row r="338">
      <c r="A338" s="18"/>
      <c r="C338" s="16"/>
    </row>
    <row r="339">
      <c r="A339" s="17"/>
    </row>
    <row r="340">
      <c r="A340" s="17"/>
    </row>
    <row r="341">
      <c r="A341" s="17"/>
    </row>
    <row r="342">
      <c r="A342" s="17"/>
    </row>
    <row r="343">
      <c r="A343" s="17"/>
    </row>
    <row r="344">
      <c r="A344" s="17"/>
    </row>
    <row r="345">
      <c r="A345" s="17"/>
    </row>
    <row r="346">
      <c r="A346" s="18"/>
    </row>
    <row r="347">
      <c r="A347" s="18"/>
    </row>
    <row r="348">
      <c r="A348" s="18"/>
    </row>
    <row r="349">
      <c r="A349" s="18"/>
    </row>
    <row r="350">
      <c r="A350" s="18"/>
    </row>
    <row r="351">
      <c r="A351" s="18"/>
    </row>
    <row r="352">
      <c r="A352" s="18"/>
    </row>
    <row r="353">
      <c r="A353" s="18"/>
    </row>
    <row r="354">
      <c r="A354" s="18"/>
      <c r="C354" s="16"/>
    </row>
    <row r="355">
      <c r="A355" s="18"/>
      <c r="C355" s="16"/>
    </row>
    <row r="356">
      <c r="A356" s="17"/>
    </row>
    <row r="357">
      <c r="A357" s="17"/>
    </row>
    <row r="358">
      <c r="A358" s="17"/>
    </row>
    <row r="359">
      <c r="A359" s="17"/>
    </row>
    <row r="360">
      <c r="A360" s="17"/>
    </row>
    <row r="361">
      <c r="A361" s="17"/>
    </row>
    <row r="362">
      <c r="A362" s="17"/>
    </row>
    <row r="363">
      <c r="A363" s="18"/>
    </row>
    <row r="364">
      <c r="A364" s="18"/>
    </row>
    <row r="365">
      <c r="A365" s="18"/>
    </row>
    <row r="366">
      <c r="A366" s="18"/>
    </row>
    <row r="367">
      <c r="A367" s="18"/>
    </row>
    <row r="368">
      <c r="A368" s="18"/>
    </row>
    <row r="369">
      <c r="A369" s="18"/>
    </row>
    <row r="370">
      <c r="A370" s="18"/>
    </row>
    <row r="371">
      <c r="A371" s="18"/>
      <c r="C371" s="16"/>
    </row>
    <row r="372">
      <c r="A372" s="18"/>
      <c r="C372" s="16"/>
    </row>
    <row r="373">
      <c r="A373" s="17"/>
    </row>
    <row r="374">
      <c r="A374" s="17"/>
    </row>
    <row r="375">
      <c r="A375" s="17"/>
    </row>
    <row r="376">
      <c r="A376" s="17"/>
    </row>
    <row r="377">
      <c r="A377" s="17"/>
    </row>
    <row r="378">
      <c r="A378" s="17"/>
    </row>
    <row r="379">
      <c r="A379" s="17"/>
    </row>
    <row r="380">
      <c r="A380" s="18"/>
    </row>
    <row r="381">
      <c r="A381" s="18"/>
    </row>
    <row r="382">
      <c r="A382" s="18"/>
    </row>
    <row r="383">
      <c r="A383" s="18"/>
    </row>
    <row r="384">
      <c r="A384" s="18"/>
    </row>
    <row r="385">
      <c r="A385" s="18"/>
    </row>
    <row r="386">
      <c r="A386" s="18"/>
    </row>
    <row r="387">
      <c r="A387" s="18"/>
    </row>
    <row r="388">
      <c r="A388" s="18"/>
      <c r="C388" s="16"/>
    </row>
    <row r="389">
      <c r="A389" s="18"/>
      <c r="C389" s="16"/>
    </row>
    <row r="390">
      <c r="A390" s="17"/>
    </row>
    <row r="391">
      <c r="A391" s="17"/>
    </row>
    <row r="392">
      <c r="A392" s="17"/>
    </row>
    <row r="393">
      <c r="A393" s="17"/>
    </row>
    <row r="394">
      <c r="A394" s="17"/>
    </row>
    <row r="395">
      <c r="A395" s="17"/>
    </row>
    <row r="396">
      <c r="A396" s="17"/>
    </row>
    <row r="397">
      <c r="A397" s="18"/>
    </row>
    <row r="398">
      <c r="A398" s="18"/>
    </row>
    <row r="399">
      <c r="A399" s="18"/>
    </row>
    <row r="400">
      <c r="A400" s="18"/>
    </row>
    <row r="401">
      <c r="A401" s="18"/>
    </row>
    <row r="402">
      <c r="A402" s="18"/>
    </row>
    <row r="403">
      <c r="A403" s="18"/>
    </row>
    <row r="404">
      <c r="A404" s="18"/>
    </row>
    <row r="405">
      <c r="A405" s="18"/>
      <c r="C405" s="16"/>
    </row>
    <row r="406">
      <c r="A406" s="18"/>
      <c r="C406" s="16"/>
    </row>
    <row r="407">
      <c r="A407" s="17"/>
    </row>
    <row r="408">
      <c r="A408" s="17"/>
    </row>
    <row r="409">
      <c r="A409" s="17"/>
    </row>
    <row r="410">
      <c r="A410" s="17"/>
    </row>
    <row r="411">
      <c r="A411" s="17"/>
    </row>
    <row r="412">
      <c r="A412" s="17"/>
    </row>
    <row r="413">
      <c r="A413" s="17"/>
    </row>
    <row r="414">
      <c r="A414" s="18"/>
    </row>
    <row r="415">
      <c r="A415" s="18"/>
    </row>
    <row r="416">
      <c r="A416" s="18"/>
    </row>
    <row r="417">
      <c r="A417" s="18"/>
    </row>
    <row r="418">
      <c r="A418" s="18"/>
    </row>
    <row r="419">
      <c r="A419" s="18"/>
    </row>
    <row r="420">
      <c r="A420" s="18"/>
    </row>
    <row r="421">
      <c r="A421" s="18"/>
    </row>
    <row r="422">
      <c r="A422" s="18"/>
      <c r="C422" s="16"/>
    </row>
    <row r="423">
      <c r="A423" s="18"/>
      <c r="C423" s="16"/>
    </row>
    <row r="424">
      <c r="A424" s="17"/>
    </row>
    <row r="425">
      <c r="A425" s="17"/>
    </row>
    <row r="426">
      <c r="A426" s="17"/>
    </row>
    <row r="427">
      <c r="A427" s="17"/>
    </row>
    <row r="428">
      <c r="A428" s="17"/>
    </row>
    <row r="429">
      <c r="A429" s="17"/>
    </row>
    <row r="430">
      <c r="A430" s="17"/>
    </row>
    <row r="431">
      <c r="A431" s="18"/>
    </row>
    <row r="432">
      <c r="A432" s="18"/>
    </row>
    <row r="433">
      <c r="A433" s="18"/>
    </row>
    <row r="434">
      <c r="A434" s="18"/>
    </row>
    <row r="435">
      <c r="A435" s="18"/>
    </row>
    <row r="436">
      <c r="A436" s="18"/>
    </row>
    <row r="437">
      <c r="A437" s="18"/>
    </row>
    <row r="438">
      <c r="A438" s="18"/>
    </row>
    <row r="439">
      <c r="A439" s="18"/>
      <c r="C439" s="16"/>
    </row>
    <row r="440">
      <c r="A440" s="18"/>
      <c r="C440" s="16"/>
    </row>
    <row r="441">
      <c r="A441" s="17"/>
    </row>
    <row r="442">
      <c r="A442" s="17"/>
    </row>
    <row r="443">
      <c r="A443" s="17"/>
    </row>
    <row r="444">
      <c r="A444" s="17"/>
    </row>
    <row r="445">
      <c r="A445" s="17"/>
    </row>
    <row r="446">
      <c r="A446" s="17"/>
    </row>
    <row r="447">
      <c r="A447" s="17"/>
    </row>
    <row r="448">
      <c r="A448" s="18"/>
    </row>
    <row r="449">
      <c r="A449" s="18"/>
    </row>
    <row r="450">
      <c r="A450" s="18"/>
    </row>
    <row r="451">
      <c r="A451" s="18"/>
    </row>
    <row r="452">
      <c r="A452" s="18"/>
    </row>
    <row r="453">
      <c r="A453" s="18"/>
    </row>
    <row r="454">
      <c r="A454" s="18"/>
    </row>
    <row r="455">
      <c r="A455" s="18"/>
    </row>
    <row r="456">
      <c r="A456" s="18"/>
      <c r="C456" s="16"/>
    </row>
    <row r="457">
      <c r="A457" s="18"/>
      <c r="C457" s="16"/>
    </row>
    <row r="458">
      <c r="A458" s="17"/>
    </row>
    <row r="459">
      <c r="A459" s="17"/>
    </row>
    <row r="460">
      <c r="A460" s="17"/>
    </row>
    <row r="461">
      <c r="A461" s="17"/>
    </row>
    <row r="462">
      <c r="A462" s="17"/>
    </row>
    <row r="463">
      <c r="A463" s="17"/>
    </row>
    <row r="464">
      <c r="A464" s="17"/>
    </row>
    <row r="465">
      <c r="A465" s="18"/>
    </row>
    <row r="466">
      <c r="A466" s="18"/>
    </row>
    <row r="467">
      <c r="A467" s="18"/>
    </row>
    <row r="468">
      <c r="A468" s="18"/>
    </row>
    <row r="469">
      <c r="A469" s="18"/>
    </row>
    <row r="470">
      <c r="A470" s="18"/>
    </row>
    <row r="471">
      <c r="A471" s="18"/>
    </row>
    <row r="472">
      <c r="A472" s="18"/>
    </row>
    <row r="473">
      <c r="A473" s="18"/>
      <c r="C473" s="16"/>
    </row>
    <row r="474">
      <c r="A474" s="18"/>
      <c r="C474" s="16"/>
    </row>
    <row r="475">
      <c r="A475" s="17"/>
    </row>
    <row r="476">
      <c r="A476" s="17"/>
    </row>
    <row r="477">
      <c r="A477" s="17"/>
    </row>
    <row r="478">
      <c r="A478" s="17"/>
    </row>
    <row r="479">
      <c r="A479" s="17"/>
    </row>
    <row r="480">
      <c r="A480" s="17"/>
    </row>
    <row r="481">
      <c r="A481" s="17"/>
    </row>
    <row r="482">
      <c r="A482" s="18"/>
    </row>
    <row r="483">
      <c r="A483" s="18"/>
    </row>
    <row r="484">
      <c r="A484" s="18"/>
    </row>
    <row r="485">
      <c r="A485" s="18"/>
    </row>
    <row r="486">
      <c r="A486" s="18"/>
    </row>
    <row r="487">
      <c r="A487" s="18"/>
    </row>
    <row r="488">
      <c r="A488" s="18"/>
    </row>
    <row r="489">
      <c r="A489" s="18"/>
    </row>
    <row r="490">
      <c r="A490" s="18"/>
      <c r="C490" s="16"/>
    </row>
    <row r="491">
      <c r="A491" s="18"/>
      <c r="C491" s="16"/>
    </row>
    <row r="492">
      <c r="A492" s="17"/>
    </row>
    <row r="493">
      <c r="A493" s="17"/>
    </row>
    <row r="494">
      <c r="A494" s="17"/>
    </row>
    <row r="495">
      <c r="A495" s="17"/>
    </row>
    <row r="496">
      <c r="A496" s="17"/>
    </row>
    <row r="497">
      <c r="A497" s="17"/>
    </row>
    <row r="498">
      <c r="A498" s="17"/>
    </row>
    <row r="499">
      <c r="A499" s="18"/>
    </row>
    <row r="500">
      <c r="A500" s="18"/>
    </row>
    <row r="501">
      <c r="A501" s="18"/>
    </row>
    <row r="502">
      <c r="A502" s="18"/>
    </row>
    <row r="503">
      <c r="A503" s="18"/>
    </row>
    <row r="504">
      <c r="A504" s="18"/>
    </row>
    <row r="505">
      <c r="A505" s="18"/>
    </row>
    <row r="506">
      <c r="A506" s="18"/>
    </row>
    <row r="507">
      <c r="A507" s="18"/>
      <c r="C507" s="16"/>
    </row>
    <row r="508">
      <c r="A508" s="18"/>
      <c r="C508" s="16"/>
    </row>
    <row r="509">
      <c r="A509" s="17"/>
    </row>
    <row r="510">
      <c r="A510" s="17"/>
    </row>
    <row r="511">
      <c r="A511" s="17"/>
    </row>
    <row r="512">
      <c r="A512" s="17"/>
    </row>
    <row r="513">
      <c r="A513" s="17"/>
    </row>
    <row r="514">
      <c r="A514" s="17"/>
    </row>
    <row r="515">
      <c r="A515" s="17"/>
    </row>
    <row r="516">
      <c r="A516" s="18"/>
    </row>
    <row r="517">
      <c r="A517" s="18"/>
    </row>
    <row r="518">
      <c r="A518" s="18"/>
    </row>
    <row r="519">
      <c r="A519" s="18"/>
    </row>
    <row r="520">
      <c r="A520" s="18"/>
    </row>
    <row r="521">
      <c r="A521" s="18"/>
    </row>
    <row r="522">
      <c r="A522" s="18"/>
    </row>
    <row r="523">
      <c r="A523" s="18"/>
    </row>
    <row r="524">
      <c r="A524" s="18"/>
      <c r="C524" s="16"/>
    </row>
    <row r="525">
      <c r="A525" s="18"/>
      <c r="C525" s="16"/>
    </row>
    <row r="526">
      <c r="A526" s="17"/>
    </row>
    <row r="527">
      <c r="A527" s="17"/>
    </row>
    <row r="528">
      <c r="A528" s="17"/>
    </row>
    <row r="529">
      <c r="A529" s="17"/>
    </row>
    <row r="530">
      <c r="A530" s="17"/>
    </row>
    <row r="531">
      <c r="A531" s="17"/>
    </row>
    <row r="532">
      <c r="A532" s="17"/>
    </row>
    <row r="533">
      <c r="A533" s="18"/>
    </row>
    <row r="534">
      <c r="A534" s="18"/>
    </row>
    <row r="535">
      <c r="A535" s="18"/>
    </row>
    <row r="536">
      <c r="A536" s="18"/>
    </row>
    <row r="537">
      <c r="A537" s="18"/>
    </row>
    <row r="538">
      <c r="A538" s="18"/>
    </row>
    <row r="539">
      <c r="A539" s="18"/>
    </row>
    <row r="540">
      <c r="A540" s="18"/>
    </row>
    <row r="541">
      <c r="A541" s="18"/>
      <c r="C541" s="16"/>
    </row>
    <row r="542">
      <c r="A542" s="18"/>
      <c r="C542" s="16"/>
    </row>
    <row r="543">
      <c r="A543" s="17"/>
    </row>
    <row r="544">
      <c r="A544" s="17"/>
    </row>
    <row r="545">
      <c r="A545" s="17"/>
    </row>
    <row r="546">
      <c r="A546" s="17"/>
    </row>
    <row r="547">
      <c r="A547" s="17"/>
    </row>
    <row r="548">
      <c r="A548" s="17"/>
    </row>
    <row r="549">
      <c r="A549" s="17"/>
    </row>
    <row r="550">
      <c r="A550" s="18"/>
    </row>
    <row r="551">
      <c r="A551" s="18"/>
    </row>
    <row r="552">
      <c r="A552" s="18"/>
    </row>
    <row r="553">
      <c r="A553" s="18"/>
    </row>
    <row r="554">
      <c r="A554" s="18"/>
    </row>
    <row r="555">
      <c r="A555" s="18"/>
    </row>
    <row r="556">
      <c r="A556" s="18"/>
    </row>
    <row r="557">
      <c r="A557" s="18"/>
    </row>
    <row r="558">
      <c r="A558" s="18"/>
      <c r="C558" s="16"/>
    </row>
    <row r="559">
      <c r="A559" s="18"/>
      <c r="C559" s="16"/>
    </row>
    <row r="560">
      <c r="A560" s="17"/>
    </row>
    <row r="561">
      <c r="A561" s="17"/>
    </row>
    <row r="562">
      <c r="A562" s="17"/>
    </row>
    <row r="563">
      <c r="A563" s="17"/>
    </row>
    <row r="564">
      <c r="A564" s="17"/>
    </row>
    <row r="565">
      <c r="A565" s="17"/>
    </row>
    <row r="566">
      <c r="A566" s="17"/>
    </row>
    <row r="567">
      <c r="A567" s="18"/>
    </row>
    <row r="568">
      <c r="A568" s="18"/>
    </row>
    <row r="569">
      <c r="A569" s="18"/>
    </row>
    <row r="570">
      <c r="A570" s="18"/>
    </row>
    <row r="571">
      <c r="A571" s="18"/>
    </row>
    <row r="572">
      <c r="A572" s="18"/>
    </row>
    <row r="573">
      <c r="A573" s="18"/>
    </row>
    <row r="574">
      <c r="A574" s="18"/>
    </row>
    <row r="575">
      <c r="A575" s="18"/>
      <c r="C575" s="16"/>
    </row>
    <row r="576">
      <c r="A576" s="18"/>
      <c r="C576" s="16"/>
    </row>
    <row r="577">
      <c r="A577" s="17"/>
    </row>
    <row r="578">
      <c r="A578" s="17"/>
    </row>
    <row r="579">
      <c r="A579" s="17"/>
    </row>
    <row r="580">
      <c r="A580" s="17"/>
    </row>
    <row r="581">
      <c r="A581" s="17"/>
    </row>
    <row r="582">
      <c r="A582" s="17"/>
    </row>
    <row r="583">
      <c r="A583" s="17"/>
    </row>
    <row r="584">
      <c r="A584" s="18"/>
    </row>
    <row r="585">
      <c r="A585" s="18"/>
    </row>
    <row r="586">
      <c r="A586" s="18"/>
    </row>
    <row r="587">
      <c r="A587" s="18"/>
    </row>
    <row r="588">
      <c r="A588" s="18"/>
    </row>
    <row r="589">
      <c r="A589" s="18"/>
    </row>
    <row r="590">
      <c r="A590" s="18"/>
    </row>
    <row r="591">
      <c r="A591" s="18"/>
    </row>
    <row r="592">
      <c r="A592" s="18"/>
      <c r="C592" s="16"/>
    </row>
    <row r="593">
      <c r="A593" s="18"/>
      <c r="C593" s="16"/>
    </row>
    <row r="594">
      <c r="A594" s="17"/>
    </row>
    <row r="595">
      <c r="A595" s="17"/>
    </row>
    <row r="596">
      <c r="A596" s="17"/>
    </row>
    <row r="597">
      <c r="A597" s="17"/>
    </row>
    <row r="598">
      <c r="A598" s="17"/>
    </row>
    <row r="599">
      <c r="A599" s="17"/>
    </row>
    <row r="600">
      <c r="A600" s="17"/>
    </row>
    <row r="601">
      <c r="A601" s="18"/>
    </row>
    <row r="602">
      <c r="A602" s="18"/>
    </row>
    <row r="603">
      <c r="A603" s="18"/>
    </row>
    <row r="604">
      <c r="A604" s="18"/>
    </row>
    <row r="605">
      <c r="A605" s="18"/>
    </row>
    <row r="606">
      <c r="A606" s="18"/>
    </row>
    <row r="607">
      <c r="A607" s="18"/>
    </row>
    <row r="608">
      <c r="A608" s="18"/>
    </row>
    <row r="609">
      <c r="A609" s="18"/>
      <c r="C609" s="16"/>
    </row>
    <row r="610">
      <c r="A610" s="18"/>
      <c r="C610" s="16"/>
    </row>
    <row r="611">
      <c r="A611" s="17"/>
    </row>
    <row r="612">
      <c r="A612" s="17"/>
    </row>
    <row r="613">
      <c r="A613" s="17"/>
    </row>
    <row r="614">
      <c r="A614" s="17"/>
    </row>
    <row r="615">
      <c r="A615" s="17"/>
    </row>
    <row r="616">
      <c r="A616" s="17"/>
    </row>
    <row r="617">
      <c r="A617" s="17"/>
    </row>
    <row r="618">
      <c r="A618" s="18"/>
    </row>
    <row r="619">
      <c r="A619" s="18"/>
    </row>
    <row r="620">
      <c r="A620" s="18"/>
    </row>
    <row r="621">
      <c r="A621" s="18"/>
    </row>
    <row r="622">
      <c r="A622" s="18"/>
    </row>
    <row r="623">
      <c r="A623" s="18"/>
    </row>
    <row r="624">
      <c r="A624" s="18"/>
    </row>
    <row r="625">
      <c r="A625" s="18"/>
    </row>
    <row r="626">
      <c r="A626" s="18"/>
      <c r="C626" s="16"/>
    </row>
    <row r="627">
      <c r="A627" s="18"/>
      <c r="C627" s="16"/>
    </row>
    <row r="628">
      <c r="A628" s="17"/>
    </row>
    <row r="629">
      <c r="A629" s="17"/>
    </row>
    <row r="630">
      <c r="A630" s="17"/>
    </row>
    <row r="631">
      <c r="A631" s="17"/>
    </row>
    <row r="632">
      <c r="A632" s="17"/>
    </row>
    <row r="633">
      <c r="A633" s="17"/>
    </row>
    <row r="634">
      <c r="A634" s="17"/>
    </row>
    <row r="635">
      <c r="A635" s="18"/>
    </row>
    <row r="636">
      <c r="A636" s="18"/>
    </row>
    <row r="637">
      <c r="A637" s="18"/>
    </row>
    <row r="638">
      <c r="A638" s="18"/>
    </row>
    <row r="639">
      <c r="A639" s="18"/>
    </row>
    <row r="640">
      <c r="A640" s="18"/>
    </row>
    <row r="641">
      <c r="A641" s="18"/>
    </row>
    <row r="642">
      <c r="A642" s="18"/>
    </row>
    <row r="643">
      <c r="A643" s="18"/>
      <c r="C643" s="16"/>
    </row>
    <row r="644">
      <c r="A644" s="18"/>
      <c r="C644" s="16"/>
    </row>
    <row r="645">
      <c r="A645" s="17"/>
    </row>
    <row r="646">
      <c r="A646" s="17"/>
    </row>
    <row r="647">
      <c r="A647" s="17"/>
    </row>
    <row r="648">
      <c r="A648" s="17"/>
    </row>
    <row r="649">
      <c r="A649" s="17"/>
    </row>
    <row r="650">
      <c r="A650" s="17"/>
    </row>
    <row r="651">
      <c r="A651" s="17"/>
    </row>
    <row r="652">
      <c r="A652" s="18"/>
    </row>
    <row r="653">
      <c r="A653" s="18"/>
    </row>
    <row r="654">
      <c r="A654" s="18"/>
    </row>
    <row r="655">
      <c r="A655" s="18"/>
    </row>
    <row r="656">
      <c r="A656" s="18"/>
    </row>
    <row r="657">
      <c r="A657" s="18"/>
    </row>
    <row r="658">
      <c r="A658" s="18"/>
    </row>
    <row r="659">
      <c r="A659" s="18"/>
    </row>
    <row r="660">
      <c r="A660" s="18"/>
      <c r="C660" s="16"/>
    </row>
    <row r="661">
      <c r="A661" s="18"/>
      <c r="C661" s="16"/>
    </row>
    <row r="662">
      <c r="A662" s="17"/>
    </row>
    <row r="663">
      <c r="A663" s="17"/>
    </row>
    <row r="664">
      <c r="A664" s="17"/>
    </row>
    <row r="665">
      <c r="A665" s="17"/>
    </row>
    <row r="666">
      <c r="A666" s="17"/>
    </row>
    <row r="667">
      <c r="A667" s="17"/>
    </row>
    <row r="668">
      <c r="A668" s="17"/>
    </row>
    <row r="669">
      <c r="A669" s="18"/>
    </row>
    <row r="670">
      <c r="A670" s="18"/>
    </row>
    <row r="671">
      <c r="A671" s="18"/>
    </row>
    <row r="672">
      <c r="A672" s="18"/>
    </row>
    <row r="673">
      <c r="A673" s="18"/>
    </row>
    <row r="674">
      <c r="A674" s="18"/>
    </row>
    <row r="675">
      <c r="A675" s="18"/>
    </row>
    <row r="676">
      <c r="A676" s="18"/>
    </row>
    <row r="677">
      <c r="A677" s="18"/>
      <c r="C677" s="16"/>
    </row>
    <row r="678">
      <c r="A678" s="18"/>
      <c r="C678" s="16"/>
    </row>
    <row r="679">
      <c r="A679" s="17"/>
    </row>
    <row r="680">
      <c r="A680" s="17"/>
    </row>
    <row r="681">
      <c r="A681" s="17"/>
    </row>
    <row r="682">
      <c r="A682" s="17"/>
    </row>
    <row r="683">
      <c r="A683" s="17"/>
    </row>
    <row r="684">
      <c r="A684" s="17"/>
    </row>
    <row r="685">
      <c r="A685" s="17"/>
    </row>
    <row r="686">
      <c r="A686" s="18"/>
    </row>
    <row r="687">
      <c r="A687" s="18"/>
    </row>
    <row r="688">
      <c r="A688" s="18"/>
    </row>
    <row r="689">
      <c r="A689" s="18"/>
    </row>
    <row r="690">
      <c r="A690" s="18"/>
    </row>
    <row r="691">
      <c r="A691" s="18"/>
    </row>
    <row r="692">
      <c r="A692" s="18"/>
    </row>
    <row r="693">
      <c r="A693" s="18"/>
    </row>
    <row r="694">
      <c r="A694" s="18"/>
      <c r="C694" s="16"/>
    </row>
    <row r="695">
      <c r="A695" s="18"/>
      <c r="C695" s="16"/>
    </row>
    <row r="696">
      <c r="A696" s="17"/>
    </row>
    <row r="697">
      <c r="A697" s="17"/>
    </row>
    <row r="698">
      <c r="A698" s="17"/>
    </row>
    <row r="699">
      <c r="A699" s="17"/>
    </row>
    <row r="700">
      <c r="A700" s="17"/>
    </row>
    <row r="701">
      <c r="A701" s="17"/>
    </row>
    <row r="702">
      <c r="A702" s="17"/>
    </row>
    <row r="703">
      <c r="A703" s="18"/>
    </row>
    <row r="704">
      <c r="A704" s="18"/>
    </row>
    <row r="705">
      <c r="A705" s="18"/>
    </row>
    <row r="706">
      <c r="A706" s="18"/>
    </row>
    <row r="707">
      <c r="A707" s="18"/>
    </row>
    <row r="708">
      <c r="A708" s="18"/>
    </row>
    <row r="709">
      <c r="A709" s="18"/>
    </row>
    <row r="710">
      <c r="A710" s="18"/>
    </row>
    <row r="711">
      <c r="A711" s="18"/>
      <c r="C711" s="16"/>
    </row>
    <row r="712">
      <c r="A712" s="18"/>
      <c r="C712" s="16"/>
    </row>
    <row r="713">
      <c r="A713" s="17"/>
    </row>
    <row r="714">
      <c r="A714" s="17"/>
    </row>
    <row r="715">
      <c r="A715" s="17"/>
    </row>
    <row r="716">
      <c r="A716" s="17"/>
    </row>
    <row r="717">
      <c r="A717" s="17"/>
    </row>
    <row r="718">
      <c r="A718" s="17"/>
    </row>
    <row r="719">
      <c r="A719" s="17"/>
    </row>
    <row r="720">
      <c r="A720" s="18"/>
    </row>
    <row r="721">
      <c r="A721" s="18"/>
    </row>
    <row r="722">
      <c r="A722" s="18"/>
    </row>
    <row r="723">
      <c r="A723" s="18"/>
    </row>
    <row r="724">
      <c r="A724" s="18"/>
    </row>
    <row r="725">
      <c r="A725" s="18"/>
    </row>
    <row r="726">
      <c r="A726" s="18"/>
    </row>
    <row r="727">
      <c r="A727" s="18"/>
    </row>
    <row r="728">
      <c r="A728" s="18"/>
      <c r="C728" s="16"/>
    </row>
    <row r="729">
      <c r="A729" s="18"/>
      <c r="C729" s="16"/>
    </row>
    <row r="730">
      <c r="A730" s="17"/>
    </row>
    <row r="731">
      <c r="A731" s="17"/>
    </row>
    <row r="732">
      <c r="A732" s="17"/>
    </row>
    <row r="733">
      <c r="A733" s="17"/>
    </row>
    <row r="734">
      <c r="A734" s="17"/>
    </row>
    <row r="735">
      <c r="A735" s="17"/>
    </row>
    <row r="736">
      <c r="A736" s="17"/>
    </row>
    <row r="737">
      <c r="A737" s="18"/>
    </row>
    <row r="738">
      <c r="A738" s="18"/>
    </row>
    <row r="739">
      <c r="A739" s="18"/>
    </row>
    <row r="740">
      <c r="A740" s="18"/>
    </row>
    <row r="741">
      <c r="A741" s="18"/>
    </row>
    <row r="742">
      <c r="A742" s="18"/>
    </row>
    <row r="743">
      <c r="A743" s="18"/>
    </row>
    <row r="744">
      <c r="A744" s="18"/>
    </row>
    <row r="745">
      <c r="A745" s="18"/>
      <c r="C745" s="16"/>
    </row>
    <row r="746">
      <c r="A746" s="18"/>
      <c r="C746" s="16"/>
    </row>
    <row r="747">
      <c r="A747" s="17"/>
    </row>
    <row r="748">
      <c r="A748" s="17"/>
    </row>
    <row r="749">
      <c r="A749" s="17"/>
    </row>
    <row r="750">
      <c r="A750" s="17"/>
    </row>
    <row r="751">
      <c r="A751" s="17"/>
    </row>
    <row r="752">
      <c r="A752" s="17"/>
    </row>
    <row r="753">
      <c r="A753" s="17"/>
    </row>
    <row r="754">
      <c r="A754" s="18"/>
    </row>
    <row r="755">
      <c r="A755" s="18"/>
    </row>
    <row r="756">
      <c r="A756" s="18"/>
    </row>
    <row r="757">
      <c r="A757" s="18"/>
    </row>
    <row r="758">
      <c r="A758" s="18"/>
    </row>
    <row r="759">
      <c r="A759" s="18"/>
    </row>
    <row r="760">
      <c r="A760" s="18"/>
    </row>
    <row r="761">
      <c r="A761" s="18"/>
    </row>
    <row r="762">
      <c r="A762" s="18"/>
      <c r="C762" s="16"/>
    </row>
    <row r="763">
      <c r="A763" s="18"/>
      <c r="C763" s="16"/>
    </row>
    <row r="764">
      <c r="A764" s="17"/>
    </row>
    <row r="765">
      <c r="A765" s="17"/>
    </row>
    <row r="766">
      <c r="A766" s="17"/>
    </row>
    <row r="767">
      <c r="A767" s="17"/>
    </row>
    <row r="768">
      <c r="A768" s="17"/>
    </row>
    <row r="769">
      <c r="A769" s="17"/>
    </row>
    <row r="770">
      <c r="A770" s="17"/>
    </row>
    <row r="771">
      <c r="A771" s="18"/>
    </row>
    <row r="772">
      <c r="A772" s="18"/>
    </row>
    <row r="773">
      <c r="A773" s="18"/>
    </row>
    <row r="774">
      <c r="A774" s="18"/>
    </row>
    <row r="775">
      <c r="A775" s="18"/>
    </row>
    <row r="776">
      <c r="A776" s="18"/>
    </row>
    <row r="777">
      <c r="A777" s="18"/>
    </row>
    <row r="778">
      <c r="A778" s="18"/>
    </row>
    <row r="779">
      <c r="A779" s="18"/>
      <c r="C779" s="16"/>
    </row>
    <row r="780">
      <c r="A780" s="18"/>
      <c r="C780" s="16"/>
    </row>
    <row r="781">
      <c r="A781" s="17"/>
    </row>
    <row r="782">
      <c r="A782" s="17"/>
    </row>
    <row r="783">
      <c r="A783" s="17"/>
    </row>
    <row r="784">
      <c r="A784" s="17"/>
    </row>
    <row r="785">
      <c r="A785" s="17"/>
    </row>
    <row r="786">
      <c r="A786" s="17"/>
    </row>
    <row r="787">
      <c r="A787" s="17"/>
    </row>
    <row r="788">
      <c r="A788" s="18"/>
    </row>
    <row r="789">
      <c r="A789" s="18"/>
    </row>
    <row r="790">
      <c r="A790" s="18"/>
    </row>
    <row r="791">
      <c r="A791" s="18"/>
    </row>
    <row r="792">
      <c r="A792" s="18"/>
    </row>
    <row r="793">
      <c r="A793" s="18"/>
    </row>
    <row r="794">
      <c r="A794" s="18"/>
    </row>
    <row r="795">
      <c r="A795" s="18"/>
    </row>
    <row r="796">
      <c r="A796" s="18"/>
      <c r="C796" s="16"/>
    </row>
    <row r="797">
      <c r="A797" s="18"/>
      <c r="C797" s="16"/>
    </row>
    <row r="798">
      <c r="A798" s="17"/>
    </row>
    <row r="799">
      <c r="A799" s="17"/>
    </row>
    <row r="800">
      <c r="A800" s="17"/>
    </row>
    <row r="801">
      <c r="A801" s="17"/>
    </row>
    <row r="802">
      <c r="A802" s="17"/>
    </row>
    <row r="803">
      <c r="A803" s="17"/>
    </row>
    <row r="804">
      <c r="A804" s="17"/>
    </row>
    <row r="805">
      <c r="A805" s="18"/>
    </row>
    <row r="806">
      <c r="A806" s="18"/>
    </row>
    <row r="807">
      <c r="A807" s="18"/>
    </row>
    <row r="808">
      <c r="A808" s="18"/>
    </row>
    <row r="809">
      <c r="A809" s="18"/>
    </row>
    <row r="810">
      <c r="A810" s="18"/>
    </row>
    <row r="811">
      <c r="A811" s="18"/>
    </row>
    <row r="812">
      <c r="A812" s="18"/>
    </row>
    <row r="813">
      <c r="A813" s="18"/>
      <c r="C813" s="16"/>
    </row>
    <row r="814">
      <c r="A814" s="18"/>
      <c r="C814" s="16"/>
    </row>
    <row r="815">
      <c r="A815" s="17"/>
    </row>
    <row r="816">
      <c r="A816" s="17"/>
    </row>
    <row r="817">
      <c r="A817" s="17"/>
    </row>
    <row r="818">
      <c r="A818" s="17"/>
    </row>
    <row r="819">
      <c r="A819" s="17"/>
    </row>
    <row r="820">
      <c r="A820" s="17"/>
    </row>
    <row r="821">
      <c r="A821" s="17"/>
    </row>
    <row r="822">
      <c r="A822" s="18"/>
    </row>
    <row r="823">
      <c r="A823" s="18"/>
    </row>
    <row r="824">
      <c r="A824" s="18"/>
    </row>
    <row r="825">
      <c r="A825" s="18"/>
    </row>
    <row r="826">
      <c r="A826" s="18"/>
    </row>
    <row r="827">
      <c r="A827" s="18"/>
    </row>
    <row r="828">
      <c r="A828" s="18"/>
    </row>
    <row r="829">
      <c r="A829" s="18"/>
    </row>
    <row r="830">
      <c r="A830" s="18"/>
      <c r="C830" s="16"/>
    </row>
    <row r="831">
      <c r="A831" s="18"/>
      <c r="C831" s="16"/>
    </row>
    <row r="832">
      <c r="A832" s="17"/>
    </row>
    <row r="833">
      <c r="A833" s="17"/>
    </row>
    <row r="834">
      <c r="A834" s="17"/>
    </row>
    <row r="835">
      <c r="A835" s="17"/>
    </row>
    <row r="836">
      <c r="A836" s="17"/>
    </row>
    <row r="837">
      <c r="A837" s="17"/>
    </row>
    <row r="838">
      <c r="A838" s="17"/>
    </row>
    <row r="839">
      <c r="A839" s="18"/>
    </row>
    <row r="840">
      <c r="A840" s="18"/>
    </row>
    <row r="841">
      <c r="A841" s="18"/>
    </row>
    <row r="842">
      <c r="A842" s="18"/>
    </row>
    <row r="843">
      <c r="A843" s="18"/>
    </row>
    <row r="844">
      <c r="A844" s="18"/>
    </row>
    <row r="845">
      <c r="A845" s="18"/>
    </row>
    <row r="846">
      <c r="A846" s="18"/>
    </row>
    <row r="847">
      <c r="A847" s="18"/>
      <c r="C847" s="16"/>
    </row>
    <row r="848">
      <c r="A848" s="18"/>
      <c r="C848" s="16"/>
    </row>
    <row r="849">
      <c r="A849" s="17"/>
    </row>
    <row r="850">
      <c r="A850" s="17"/>
    </row>
    <row r="851">
      <c r="A851" s="17"/>
    </row>
    <row r="852">
      <c r="A852" s="17"/>
    </row>
    <row r="853">
      <c r="A853" s="17"/>
    </row>
    <row r="854">
      <c r="A854" s="17"/>
    </row>
    <row r="855">
      <c r="A855" s="17"/>
    </row>
    <row r="856">
      <c r="A856" s="18"/>
    </row>
    <row r="857">
      <c r="A857" s="18"/>
    </row>
    <row r="858">
      <c r="A858" s="18"/>
    </row>
    <row r="859">
      <c r="A859" s="18"/>
    </row>
    <row r="860">
      <c r="A860" s="18"/>
    </row>
    <row r="861">
      <c r="A861" s="18"/>
    </row>
    <row r="862">
      <c r="A862" s="18"/>
    </row>
    <row r="863">
      <c r="A863" s="18"/>
    </row>
    <row r="864">
      <c r="A864" s="18"/>
      <c r="C864" s="16"/>
    </row>
    <row r="865">
      <c r="A865" s="18"/>
      <c r="C865" s="16"/>
    </row>
    <row r="866">
      <c r="A866" s="17"/>
    </row>
    <row r="867">
      <c r="A867" s="17"/>
    </row>
    <row r="868">
      <c r="A868" s="17"/>
    </row>
    <row r="869">
      <c r="A869" s="17"/>
    </row>
    <row r="870">
      <c r="A870" s="17"/>
    </row>
    <row r="871">
      <c r="A871" s="17"/>
    </row>
    <row r="872">
      <c r="A872" s="17"/>
    </row>
    <row r="873">
      <c r="A873" s="18"/>
    </row>
    <row r="874">
      <c r="A874" s="18"/>
    </row>
    <row r="875">
      <c r="A875" s="18"/>
    </row>
    <row r="876">
      <c r="A876" s="18"/>
    </row>
    <row r="877">
      <c r="A877" s="18"/>
    </row>
    <row r="878">
      <c r="A878" s="18"/>
    </row>
    <row r="879">
      <c r="A879" s="18"/>
    </row>
    <row r="880">
      <c r="A880" s="18"/>
    </row>
    <row r="881">
      <c r="A881" s="18"/>
      <c r="C881" s="16"/>
    </row>
    <row r="882">
      <c r="A882" s="18"/>
      <c r="C882" s="16"/>
    </row>
    <row r="883">
      <c r="A883" s="17"/>
    </row>
    <row r="884">
      <c r="A884" s="17"/>
    </row>
    <row r="885">
      <c r="A885" s="17"/>
    </row>
    <row r="886">
      <c r="A886" s="17"/>
    </row>
    <row r="887">
      <c r="A887" s="17"/>
    </row>
    <row r="888">
      <c r="A888" s="17"/>
    </row>
    <row r="889">
      <c r="A889" s="17"/>
    </row>
    <row r="890">
      <c r="A890" s="18"/>
    </row>
    <row r="891">
      <c r="A891" s="18"/>
    </row>
    <row r="892">
      <c r="A892" s="18"/>
    </row>
    <row r="893">
      <c r="A893" s="18"/>
    </row>
    <row r="894">
      <c r="A894" s="18"/>
    </row>
    <row r="895">
      <c r="A895" s="18"/>
    </row>
    <row r="896">
      <c r="A896" s="18"/>
    </row>
    <row r="897">
      <c r="A897" s="18"/>
    </row>
    <row r="898">
      <c r="A898" s="18"/>
      <c r="C898" s="16"/>
    </row>
    <row r="899">
      <c r="A899" s="18"/>
      <c r="C899" s="16"/>
    </row>
    <row r="900">
      <c r="A900" s="17"/>
    </row>
    <row r="901">
      <c r="A901" s="17"/>
    </row>
    <row r="902">
      <c r="A902" s="17"/>
    </row>
    <row r="903">
      <c r="A903" s="17"/>
    </row>
    <row r="904">
      <c r="A904" s="17"/>
    </row>
    <row r="905">
      <c r="A905" s="17"/>
    </row>
    <row r="906">
      <c r="A906" s="17"/>
    </row>
    <row r="907">
      <c r="A907" s="18"/>
    </row>
    <row r="908">
      <c r="A908" s="18"/>
    </row>
    <row r="909">
      <c r="A909" s="18"/>
    </row>
    <row r="910">
      <c r="A910" s="18"/>
    </row>
    <row r="911">
      <c r="A911" s="18"/>
    </row>
    <row r="912">
      <c r="A912" s="18"/>
    </row>
    <row r="913">
      <c r="A913" s="18"/>
    </row>
    <row r="914">
      <c r="A914" s="18"/>
    </row>
    <row r="915">
      <c r="A915" s="18"/>
      <c r="C915" s="16"/>
    </row>
    <row r="916">
      <c r="A916" s="18"/>
      <c r="C916" s="16"/>
    </row>
    <row r="917">
      <c r="A917" s="17"/>
    </row>
    <row r="918">
      <c r="A918" s="17"/>
    </row>
    <row r="919">
      <c r="A919" s="17"/>
    </row>
    <row r="920">
      <c r="A920" s="17"/>
    </row>
    <row r="921">
      <c r="A921" s="17"/>
    </row>
    <row r="922">
      <c r="A922" s="17"/>
    </row>
    <row r="923">
      <c r="A923" s="17"/>
    </row>
    <row r="924">
      <c r="A924" s="18"/>
    </row>
    <row r="925">
      <c r="A925" s="18"/>
    </row>
    <row r="926">
      <c r="A926" s="18"/>
    </row>
    <row r="927">
      <c r="A927" s="18"/>
    </row>
    <row r="928">
      <c r="A928" s="18"/>
    </row>
    <row r="929">
      <c r="A929" s="18"/>
    </row>
    <row r="930">
      <c r="A930" s="18"/>
    </row>
    <row r="931">
      <c r="A931" s="18"/>
    </row>
    <row r="932">
      <c r="A932" s="18"/>
      <c r="C932" s="16"/>
    </row>
    <row r="933">
      <c r="A933" s="18"/>
      <c r="C933" s="16"/>
    </row>
    <row r="934">
      <c r="A934" s="17"/>
    </row>
    <row r="935">
      <c r="A935" s="17"/>
    </row>
    <row r="936">
      <c r="A936" s="17"/>
    </row>
    <row r="937">
      <c r="A937" s="17"/>
    </row>
    <row r="938">
      <c r="A938" s="17"/>
    </row>
    <row r="939">
      <c r="A939" s="17"/>
    </row>
    <row r="940">
      <c r="A940" s="17"/>
    </row>
    <row r="941">
      <c r="A941" s="18"/>
    </row>
    <row r="942">
      <c r="A942" s="18"/>
    </row>
    <row r="943">
      <c r="A943" s="18"/>
    </row>
    <row r="944">
      <c r="A944" s="18"/>
    </row>
    <row r="945">
      <c r="A945" s="18"/>
    </row>
    <row r="946">
      <c r="A946" s="18"/>
    </row>
    <row r="947">
      <c r="A947" s="18"/>
    </row>
    <row r="948">
      <c r="A948" s="18"/>
    </row>
    <row r="949">
      <c r="A949" s="18"/>
      <c r="C949" s="16"/>
    </row>
    <row r="950">
      <c r="A950" s="18"/>
      <c r="C950" s="16"/>
    </row>
    <row r="951">
      <c r="A951" s="17"/>
    </row>
    <row r="952">
      <c r="A952" s="17"/>
    </row>
    <row r="953">
      <c r="A953" s="17"/>
    </row>
    <row r="954">
      <c r="A954" s="17"/>
    </row>
    <row r="955">
      <c r="A955" s="17"/>
    </row>
    <row r="956">
      <c r="A956" s="17"/>
    </row>
    <row r="957">
      <c r="A957" s="17"/>
    </row>
    <row r="958">
      <c r="A958" s="18"/>
    </row>
    <row r="959">
      <c r="A959" s="18"/>
    </row>
    <row r="960">
      <c r="A960" s="18"/>
    </row>
    <row r="961">
      <c r="A961" s="18"/>
    </row>
    <row r="962">
      <c r="A962" s="18"/>
    </row>
    <row r="963">
      <c r="A963" s="18"/>
    </row>
    <row r="964">
      <c r="A964" s="18"/>
    </row>
    <row r="965">
      <c r="A965" s="18"/>
    </row>
    <row r="966">
      <c r="A966" s="18"/>
      <c r="C966" s="16"/>
    </row>
    <row r="967">
      <c r="A967" s="18"/>
      <c r="C967" s="16"/>
    </row>
    <row r="968">
      <c r="A968" s="17"/>
    </row>
    <row r="969">
      <c r="A969" s="17"/>
    </row>
    <row r="970">
      <c r="A970" s="17"/>
    </row>
    <row r="971">
      <c r="A971" s="17"/>
    </row>
    <row r="972">
      <c r="A972" s="17"/>
    </row>
    <row r="973">
      <c r="A973" s="17"/>
    </row>
    <row r="974">
      <c r="A974" s="17"/>
    </row>
    <row r="975">
      <c r="A975" s="18"/>
    </row>
    <row r="976">
      <c r="A976" s="18"/>
    </row>
    <row r="977">
      <c r="A977" s="18"/>
    </row>
    <row r="978">
      <c r="A978" s="18"/>
    </row>
    <row r="979">
      <c r="A979" s="18"/>
    </row>
    <row r="980">
      <c r="A980" s="18"/>
    </row>
    <row r="981">
      <c r="A981" s="18"/>
    </row>
    <row r="982">
      <c r="A982" s="18"/>
    </row>
    <row r="983">
      <c r="A983" s="18"/>
    </row>
    <row r="984">
      <c r="A984" s="18"/>
      <c r="C984" s="16"/>
    </row>
    <row r="985">
      <c r="A985" s="17"/>
    </row>
    <row r="986">
      <c r="A986" s="17"/>
    </row>
    <row r="987">
      <c r="A987" s="17"/>
    </row>
    <row r="988">
      <c r="A988" s="17"/>
    </row>
    <row r="989">
      <c r="A989" s="17"/>
    </row>
    <row r="990">
      <c r="A990" s="17"/>
    </row>
    <row r="991">
      <c r="A991" s="17"/>
    </row>
    <row r="992">
      <c r="A992" s="18"/>
    </row>
    <row r="993">
      <c r="A993" s="18"/>
    </row>
    <row r="994">
      <c r="A994" s="18"/>
    </row>
    <row r="995">
      <c r="A995" s="18"/>
    </row>
    <row r="996">
      <c r="A996" s="18"/>
    </row>
    <row r="997">
      <c r="A997" s="18"/>
    </row>
    <row r="998">
      <c r="A998" s="18"/>
    </row>
    <row r="999">
      <c r="A999" s="18"/>
    </row>
    <row r="1000">
      <c r="A1000" s="18"/>
    </row>
    <row r="1001">
      <c r="A1001" s="18"/>
      <c r="C1001" s="16"/>
    </row>
    <row r="1002">
      <c r="A1002" s="17"/>
    </row>
    <row r="1003">
      <c r="A1003" s="17"/>
    </row>
    <row r="1004">
      <c r="A1004" s="17"/>
    </row>
    <row r="1005">
      <c r="A1005" s="17"/>
    </row>
    <row r="1006">
      <c r="A1006" s="17"/>
    </row>
    <row r="1007">
      <c r="A1007" s="17"/>
    </row>
    <row r="1008">
      <c r="A1008" s="17"/>
    </row>
    <row r="1009">
      <c r="A1009" s="18"/>
    </row>
    <row r="1010">
      <c r="A1010" s="18"/>
    </row>
    <row r="1011">
      <c r="A1011" s="18"/>
    </row>
    <row r="1012">
      <c r="A1012" s="18"/>
    </row>
    <row r="1013">
      <c r="A1013" s="18"/>
    </row>
    <row r="1014">
      <c r="A1014" s="18"/>
    </row>
    <row r="1015">
      <c r="A1015" s="18"/>
    </row>
    <row r="1016">
      <c r="A1016" s="18"/>
    </row>
    <row r="1017">
      <c r="A1017" s="18"/>
    </row>
    <row r="1018">
      <c r="A1018" s="18"/>
      <c r="C1018" s="16"/>
    </row>
    <row r="1019">
      <c r="A1019" s="17"/>
    </row>
    <row r="1020">
      <c r="A1020" s="17"/>
    </row>
    <row r="1021">
      <c r="A1021" s="17"/>
    </row>
    <row r="1022">
      <c r="A1022" s="17"/>
    </row>
    <row r="1023">
      <c r="A1023" s="17"/>
    </row>
    <row r="1024">
      <c r="A1024" s="17"/>
    </row>
    <row r="1025">
      <c r="A1025" s="17"/>
    </row>
    <row r="1026">
      <c r="A1026" s="18"/>
    </row>
    <row r="1027">
      <c r="A1027" s="18"/>
    </row>
    <row r="1028">
      <c r="A1028" s="18"/>
    </row>
    <row r="1029">
      <c r="A1029" s="18"/>
    </row>
    <row r="1030">
      <c r="A1030" s="18"/>
    </row>
    <row r="1031">
      <c r="A1031" s="18"/>
    </row>
    <row r="1032">
      <c r="A1032" s="18"/>
    </row>
    <row r="1033">
      <c r="A1033" s="18"/>
    </row>
    <row r="1034">
      <c r="A1034" s="18"/>
    </row>
    <row r="1035">
      <c r="A1035" s="18"/>
      <c r="C1035" s="16"/>
    </row>
    <row r="1036">
      <c r="A1036" s="17"/>
    </row>
    <row r="1037">
      <c r="A1037" s="17"/>
    </row>
    <row r="1038">
      <c r="A1038" s="17"/>
    </row>
    <row r="1039">
      <c r="A1039" s="17"/>
    </row>
    <row r="1040">
      <c r="A1040" s="17"/>
    </row>
    <row r="1041">
      <c r="A1041" s="17"/>
    </row>
    <row r="1042">
      <c r="A1042" s="17"/>
    </row>
    <row r="1043">
      <c r="A1043" s="18"/>
    </row>
    <row r="1044">
      <c r="A1044" s="18"/>
    </row>
    <row r="1045">
      <c r="A1045" s="18"/>
    </row>
    <row r="1046">
      <c r="A1046" s="18"/>
    </row>
    <row r="1047">
      <c r="A1047" s="18"/>
    </row>
    <row r="1048">
      <c r="A1048" s="18"/>
    </row>
    <row r="1049">
      <c r="A1049" s="18"/>
    </row>
    <row r="1050">
      <c r="A1050" s="18"/>
    </row>
    <row r="1051">
      <c r="A1051" s="18"/>
    </row>
    <row r="1052">
      <c r="A1052" s="18"/>
      <c r="C1052" s="16"/>
    </row>
    <row r="1053">
      <c r="A1053" s="17"/>
    </row>
    <row r="1054">
      <c r="A1054" s="17"/>
    </row>
    <row r="1055">
      <c r="A1055" s="17"/>
    </row>
    <row r="1056">
      <c r="A1056" s="17"/>
    </row>
    <row r="1057">
      <c r="A1057" s="17"/>
    </row>
    <row r="1058">
      <c r="A1058" s="17"/>
    </row>
    <row r="1059">
      <c r="A1059" s="17"/>
    </row>
    <row r="1060">
      <c r="A1060" s="18"/>
    </row>
    <row r="1061">
      <c r="A1061" s="18"/>
    </row>
    <row r="1062">
      <c r="A1062" s="18"/>
    </row>
    <row r="1063">
      <c r="A1063" s="18"/>
    </row>
    <row r="1064">
      <c r="A1064" s="18"/>
    </row>
    <row r="1065">
      <c r="A1065" s="18"/>
    </row>
    <row r="1066">
      <c r="A1066" s="18"/>
    </row>
    <row r="1067">
      <c r="A1067" s="18"/>
    </row>
    <row r="1068">
      <c r="A1068" s="18"/>
    </row>
    <row r="1069">
      <c r="A1069" s="18"/>
      <c r="C1069" s="16"/>
    </row>
    <row r="1070">
      <c r="A1070" s="17"/>
    </row>
    <row r="1071">
      <c r="A1071" s="17"/>
    </row>
    <row r="1072">
      <c r="A1072" s="17"/>
    </row>
    <row r="1073">
      <c r="A1073" s="17"/>
    </row>
    <row r="1074">
      <c r="A1074" s="17"/>
    </row>
    <row r="1075">
      <c r="A1075" s="17"/>
    </row>
    <row r="1076">
      <c r="A1076" s="17"/>
    </row>
    <row r="1077">
      <c r="A1077" s="18"/>
    </row>
    <row r="1078">
      <c r="A1078" s="18"/>
    </row>
    <row r="1079">
      <c r="A1079" s="18"/>
    </row>
    <row r="1080">
      <c r="A1080" s="18"/>
    </row>
    <row r="1081">
      <c r="A1081" s="18"/>
    </row>
    <row r="1082">
      <c r="A1082" s="18"/>
    </row>
    <row r="1083">
      <c r="A1083" s="18"/>
    </row>
    <row r="1084">
      <c r="A1084" s="18"/>
    </row>
    <row r="1085">
      <c r="A1085" s="18"/>
    </row>
    <row r="1086">
      <c r="A1086" s="18"/>
      <c r="C1086" s="16"/>
    </row>
    <row r="1087">
      <c r="A1087" s="17"/>
    </row>
    <row r="1088">
      <c r="A1088" s="17"/>
    </row>
    <row r="1089">
      <c r="A1089" s="17"/>
    </row>
    <row r="1090">
      <c r="A1090" s="17"/>
    </row>
    <row r="1091">
      <c r="A1091" s="17"/>
    </row>
    <row r="1092">
      <c r="A1092" s="17"/>
    </row>
    <row r="1093">
      <c r="A1093" s="17"/>
    </row>
    <row r="1094">
      <c r="A1094" s="18"/>
    </row>
    <row r="1095">
      <c r="A1095" s="18"/>
    </row>
    <row r="1096">
      <c r="A1096" s="18"/>
    </row>
    <row r="1097">
      <c r="A1097" s="18"/>
    </row>
    <row r="1098">
      <c r="A1098" s="18"/>
    </row>
    <row r="1099">
      <c r="A1099" s="18"/>
    </row>
    <row r="1100">
      <c r="A1100" s="18"/>
    </row>
    <row r="1101">
      <c r="A1101" s="18"/>
    </row>
    <row r="1102">
      <c r="A1102" s="18"/>
    </row>
    <row r="1103">
      <c r="A1103" s="18"/>
      <c r="C1103" s="16"/>
    </row>
    <row r="1104">
      <c r="A1104" s="17"/>
    </row>
    <row r="1105">
      <c r="A1105" s="17"/>
    </row>
    <row r="1106">
      <c r="A1106" s="17"/>
    </row>
    <row r="1107">
      <c r="A1107" s="17"/>
    </row>
    <row r="1108">
      <c r="A1108" s="17"/>
    </row>
    <row r="1109">
      <c r="A1109" s="17"/>
    </row>
    <row r="1110">
      <c r="A1110" s="17"/>
    </row>
    <row r="1111">
      <c r="A1111" s="18"/>
    </row>
    <row r="1112">
      <c r="A1112" s="18"/>
    </row>
    <row r="1113">
      <c r="A1113" s="18"/>
    </row>
    <row r="1114">
      <c r="A1114" s="18"/>
    </row>
    <row r="1115">
      <c r="A1115" s="18"/>
    </row>
    <row r="1116">
      <c r="A1116" s="18"/>
    </row>
    <row r="1117">
      <c r="A1117" s="18"/>
    </row>
    <row r="1118">
      <c r="A1118" s="18"/>
    </row>
    <row r="1119">
      <c r="A1119" s="18"/>
    </row>
    <row r="1120">
      <c r="A1120" s="18"/>
      <c r="C1120" s="16"/>
    </row>
    <row r="1121">
      <c r="A1121" s="17"/>
    </row>
    <row r="1122">
      <c r="A1122" s="17"/>
    </row>
    <row r="1123">
      <c r="A1123" s="17"/>
    </row>
    <row r="1124">
      <c r="A1124" s="17"/>
    </row>
    <row r="1125">
      <c r="A1125" s="17"/>
    </row>
    <row r="1126">
      <c r="A1126" s="17"/>
    </row>
    <row r="1127">
      <c r="A1127" s="17"/>
    </row>
    <row r="1128">
      <c r="A1128" s="18"/>
    </row>
    <row r="1129">
      <c r="A1129" s="18"/>
    </row>
    <row r="1130">
      <c r="A1130" s="18"/>
    </row>
    <row r="1131">
      <c r="A1131" s="18"/>
    </row>
    <row r="1132">
      <c r="A1132" s="18"/>
    </row>
    <row r="1133">
      <c r="A1133" s="18"/>
    </row>
    <row r="1134">
      <c r="A1134" s="18"/>
    </row>
    <row r="1135">
      <c r="A1135" s="18"/>
    </row>
    <row r="1136">
      <c r="A1136" s="18"/>
    </row>
    <row r="1137">
      <c r="A1137" s="18"/>
      <c r="C1137" s="16"/>
    </row>
    <row r="1138">
      <c r="A1138" s="17"/>
    </row>
    <row r="1139">
      <c r="A1139" s="17"/>
    </row>
    <row r="1140">
      <c r="A1140" s="17"/>
    </row>
    <row r="1141">
      <c r="A1141" s="17"/>
    </row>
    <row r="1142">
      <c r="A1142" s="17"/>
    </row>
    <row r="1143">
      <c r="A1143" s="17"/>
    </row>
    <row r="1144">
      <c r="A1144" s="17"/>
    </row>
    <row r="1145">
      <c r="A1145" s="18"/>
    </row>
    <row r="1146">
      <c r="A1146" s="18"/>
    </row>
    <row r="1147">
      <c r="A1147" s="18"/>
    </row>
    <row r="1148">
      <c r="A1148" s="18"/>
    </row>
    <row r="1149">
      <c r="A1149" s="18"/>
    </row>
    <row r="1150">
      <c r="A1150" s="18"/>
    </row>
    <row r="1151">
      <c r="A1151" s="18"/>
    </row>
    <row r="1152">
      <c r="A1152" s="18"/>
    </row>
    <row r="1153">
      <c r="A1153" s="18"/>
    </row>
    <row r="1154">
      <c r="A1154" s="18"/>
      <c r="C1154" s="16"/>
    </row>
    <row r="1155">
      <c r="A1155" s="17"/>
    </row>
    <row r="1156">
      <c r="A1156" s="17"/>
    </row>
    <row r="1157">
      <c r="A1157" s="17"/>
    </row>
    <row r="1158">
      <c r="A1158" s="17"/>
    </row>
    <row r="1159">
      <c r="A1159" s="17"/>
    </row>
    <row r="1160">
      <c r="A1160" s="17"/>
    </row>
    <row r="1161">
      <c r="A1161" s="17"/>
    </row>
    <row r="1162">
      <c r="A1162" s="18"/>
    </row>
    <row r="1163">
      <c r="A1163" s="18"/>
    </row>
    <row r="1164">
      <c r="A1164" s="18"/>
    </row>
    <row r="1165">
      <c r="A1165" s="18"/>
    </row>
    <row r="1166">
      <c r="A1166" s="18"/>
    </row>
    <row r="1167">
      <c r="A1167" s="18"/>
    </row>
    <row r="1168">
      <c r="A1168" s="18"/>
    </row>
    <row r="1169">
      <c r="A1169" s="18"/>
    </row>
    <row r="1170">
      <c r="A1170" s="18"/>
    </row>
    <row r="1171">
      <c r="A1171" s="18"/>
      <c r="C1171" s="16"/>
    </row>
    <row r="1172">
      <c r="A1172" s="17"/>
    </row>
    <row r="1173">
      <c r="A1173" s="17"/>
    </row>
    <row r="1174">
      <c r="A1174" s="17"/>
    </row>
    <row r="1175">
      <c r="A1175" s="17"/>
    </row>
    <row r="1176">
      <c r="A1176" s="17"/>
    </row>
    <row r="1177">
      <c r="A1177" s="17"/>
    </row>
    <row r="1178">
      <c r="A1178" s="17"/>
    </row>
    <row r="1179">
      <c r="A1179" s="18"/>
    </row>
    <row r="1180">
      <c r="A1180" s="18"/>
    </row>
    <row r="1181">
      <c r="A1181" s="18"/>
    </row>
    <row r="1182">
      <c r="A1182" s="18"/>
    </row>
    <row r="1183">
      <c r="A1183" s="18"/>
    </row>
    <row r="1184">
      <c r="A1184" s="18"/>
    </row>
    <row r="1185">
      <c r="A1185" s="18"/>
    </row>
    <row r="1186">
      <c r="A1186" s="18"/>
    </row>
    <row r="1187">
      <c r="A1187" s="18"/>
    </row>
    <row r="1188">
      <c r="A1188" s="18"/>
      <c r="C1188" s="16"/>
    </row>
    <row r="1189">
      <c r="A1189" s="17"/>
    </row>
    <row r="1190">
      <c r="A1190" s="17"/>
    </row>
    <row r="1191">
      <c r="A1191" s="17"/>
    </row>
    <row r="1192">
      <c r="A1192" s="17"/>
    </row>
    <row r="1193">
      <c r="A1193" s="17"/>
    </row>
    <row r="1194">
      <c r="A1194" s="17"/>
    </row>
    <row r="1195">
      <c r="A1195" s="17"/>
    </row>
    <row r="1196">
      <c r="A1196" s="18"/>
    </row>
    <row r="1197">
      <c r="A1197" s="18"/>
    </row>
    <row r="1198">
      <c r="A1198" s="18"/>
    </row>
    <row r="1199">
      <c r="A1199" s="18"/>
    </row>
    <row r="1200">
      <c r="A1200" s="18"/>
    </row>
    <row r="1201">
      <c r="A1201" s="18"/>
    </row>
    <row r="1202">
      <c r="A1202" s="18"/>
    </row>
    <row r="1203">
      <c r="A1203" s="18"/>
    </row>
    <row r="1204">
      <c r="A1204" s="18"/>
    </row>
    <row r="1205">
      <c r="A1205" s="18"/>
      <c r="C1205" s="16"/>
    </row>
    <row r="1206">
      <c r="A1206" s="17"/>
    </row>
    <row r="1207">
      <c r="A1207" s="17"/>
    </row>
    <row r="1208">
      <c r="A1208" s="17"/>
    </row>
    <row r="1209">
      <c r="A1209" s="17"/>
    </row>
    <row r="1210">
      <c r="A1210" s="17"/>
    </row>
    <row r="1211">
      <c r="A1211" s="17"/>
    </row>
    <row r="1212">
      <c r="A1212" s="17"/>
    </row>
    <row r="1213">
      <c r="A1213" s="18"/>
    </row>
    <row r="1214">
      <c r="A1214" s="18"/>
    </row>
    <row r="1215">
      <c r="A1215" s="18"/>
    </row>
    <row r="1216">
      <c r="A1216" s="18"/>
    </row>
    <row r="1217">
      <c r="A1217" s="18"/>
    </row>
    <row r="1218">
      <c r="A1218" s="18"/>
    </row>
    <row r="1219">
      <c r="A1219" s="18"/>
    </row>
    <row r="1220">
      <c r="A1220" s="18"/>
    </row>
    <row r="1221">
      <c r="A1221" s="18"/>
    </row>
    <row r="1222">
      <c r="A1222" s="18"/>
      <c r="C1222" s="16"/>
    </row>
    <row r="1223">
      <c r="A1223" s="17"/>
    </row>
    <row r="1224">
      <c r="A1224" s="17"/>
    </row>
    <row r="1225">
      <c r="A1225" s="17"/>
    </row>
    <row r="1226">
      <c r="A1226" s="17"/>
    </row>
    <row r="1227">
      <c r="A1227" s="17"/>
    </row>
    <row r="1228">
      <c r="A1228" s="17"/>
    </row>
    <row r="1229">
      <c r="A1229" s="17"/>
    </row>
    <row r="1230">
      <c r="A1230" s="18"/>
    </row>
    <row r="1231">
      <c r="A1231" s="18"/>
    </row>
    <row r="1232">
      <c r="A1232" s="18"/>
    </row>
    <row r="1233">
      <c r="A1233" s="18"/>
    </row>
    <row r="1234">
      <c r="A1234" s="18"/>
    </row>
    <row r="1235">
      <c r="A1235" s="18"/>
    </row>
    <row r="1236">
      <c r="A1236" s="18"/>
    </row>
    <row r="1237">
      <c r="A1237" s="18"/>
    </row>
    <row r="1238">
      <c r="A1238" s="18"/>
    </row>
    <row r="1239">
      <c r="A1239" s="18"/>
      <c r="C1239" s="16"/>
    </row>
    <row r="1240">
      <c r="A1240" s="17"/>
    </row>
    <row r="1241">
      <c r="A1241" s="17"/>
    </row>
    <row r="1242">
      <c r="A1242" s="17"/>
    </row>
    <row r="1243">
      <c r="A1243" s="17"/>
    </row>
    <row r="1244">
      <c r="A1244" s="17"/>
    </row>
    <row r="1245">
      <c r="A1245" s="17"/>
    </row>
    <row r="1246">
      <c r="A1246" s="17"/>
    </row>
    <row r="1247">
      <c r="A1247" s="18"/>
    </row>
    <row r="1248">
      <c r="A1248" s="18"/>
    </row>
    <row r="1249">
      <c r="A1249" s="18"/>
    </row>
    <row r="1250">
      <c r="A1250" s="18"/>
    </row>
    <row r="1251">
      <c r="A1251" s="18"/>
    </row>
    <row r="1252">
      <c r="A1252" s="18"/>
    </row>
    <row r="1253">
      <c r="A1253" s="18"/>
    </row>
    <row r="1254">
      <c r="A1254" s="18"/>
    </row>
    <row r="1255">
      <c r="A1255" s="18"/>
    </row>
    <row r="1256">
      <c r="A1256" s="18"/>
      <c r="C1256" s="16"/>
    </row>
    <row r="1257">
      <c r="A1257" s="17"/>
    </row>
    <row r="1258">
      <c r="A1258" s="17"/>
    </row>
    <row r="1259">
      <c r="A1259" s="17"/>
    </row>
    <row r="1260">
      <c r="A1260" s="17"/>
    </row>
    <row r="1261">
      <c r="A1261" s="17"/>
    </row>
    <row r="1262">
      <c r="A1262" s="17"/>
    </row>
    <row r="1263">
      <c r="A1263" s="17"/>
    </row>
    <row r="1264">
      <c r="A1264" s="18"/>
    </row>
    <row r="1265">
      <c r="A1265" s="18"/>
    </row>
    <row r="1266">
      <c r="A1266" s="18"/>
    </row>
    <row r="1267">
      <c r="A1267" s="18"/>
    </row>
    <row r="1268">
      <c r="A1268" s="18"/>
    </row>
    <row r="1269">
      <c r="A1269" s="18"/>
    </row>
    <row r="1270">
      <c r="A1270" s="18"/>
    </row>
    <row r="1271">
      <c r="A1271" s="18"/>
    </row>
    <row r="1272">
      <c r="A1272" s="18"/>
    </row>
    <row r="1273">
      <c r="A1273" s="18"/>
      <c r="C1273" s="16"/>
    </row>
    <row r="1274">
      <c r="A1274" s="17"/>
    </row>
    <row r="1275">
      <c r="A1275" s="17"/>
    </row>
    <row r="1276">
      <c r="A1276" s="17"/>
    </row>
    <row r="1277">
      <c r="A1277" s="17"/>
    </row>
    <row r="1278">
      <c r="A1278" s="17"/>
    </row>
    <row r="1279">
      <c r="A1279" s="17"/>
    </row>
    <row r="1280">
      <c r="A1280" s="17"/>
    </row>
    <row r="1281">
      <c r="A1281" s="18"/>
    </row>
    <row r="1282">
      <c r="A1282" s="18"/>
    </row>
    <row r="1283">
      <c r="A1283" s="18"/>
    </row>
    <row r="1284">
      <c r="A1284" s="18"/>
    </row>
    <row r="1285">
      <c r="A1285" s="18"/>
    </row>
    <row r="1286">
      <c r="A1286" s="18"/>
    </row>
    <row r="1287">
      <c r="A1287" s="18"/>
    </row>
    <row r="1288">
      <c r="A1288" s="18"/>
    </row>
    <row r="1289">
      <c r="A1289" s="18"/>
    </row>
    <row r="1290">
      <c r="A1290" s="18"/>
      <c r="C1290" s="16"/>
    </row>
    <row r="1291">
      <c r="A1291" s="17"/>
    </row>
    <row r="1292">
      <c r="A1292" s="17"/>
    </row>
    <row r="1293">
      <c r="A1293" s="17"/>
    </row>
    <row r="1294">
      <c r="A1294" s="17"/>
    </row>
    <row r="1295">
      <c r="A1295" s="17"/>
    </row>
    <row r="1296">
      <c r="A1296" s="17"/>
    </row>
    <row r="1297">
      <c r="A1297" s="17"/>
    </row>
    <row r="1298">
      <c r="A1298" s="18"/>
    </row>
    <row r="1299">
      <c r="A1299" s="18"/>
    </row>
    <row r="1300">
      <c r="A1300" s="18"/>
    </row>
    <row r="1301">
      <c r="A1301" s="18"/>
    </row>
    <row r="1302">
      <c r="A1302" s="18"/>
    </row>
    <row r="1303">
      <c r="A1303" s="18"/>
    </row>
    <row r="1304">
      <c r="A1304" s="18"/>
    </row>
    <row r="1305">
      <c r="A1305" s="18"/>
    </row>
    <row r="1306">
      <c r="A1306" s="18"/>
    </row>
    <row r="1307">
      <c r="A1307" s="18"/>
      <c r="C1307" s="16"/>
    </row>
    <row r="1308">
      <c r="A1308" s="17"/>
    </row>
    <row r="1309">
      <c r="A1309" s="17"/>
    </row>
    <row r="1310">
      <c r="A1310" s="17"/>
    </row>
    <row r="1311">
      <c r="A1311" s="17"/>
    </row>
    <row r="1312">
      <c r="A1312" s="17"/>
    </row>
    <row r="1313">
      <c r="A1313" s="17"/>
    </row>
    <row r="1314">
      <c r="A1314" s="17"/>
    </row>
    <row r="1315">
      <c r="A1315" s="18"/>
    </row>
    <row r="1316">
      <c r="A1316" s="18"/>
    </row>
    <row r="1317">
      <c r="A1317" s="18"/>
    </row>
    <row r="1318">
      <c r="A1318" s="18"/>
    </row>
    <row r="1319">
      <c r="A1319" s="18"/>
    </row>
    <row r="1320">
      <c r="A1320" s="18"/>
    </row>
    <row r="1321">
      <c r="A1321" s="18"/>
    </row>
    <row r="1322">
      <c r="A1322" s="18"/>
    </row>
    <row r="1323">
      <c r="A1323" s="18"/>
    </row>
    <row r="1324">
      <c r="A1324" s="18"/>
      <c r="C1324" s="16"/>
    </row>
    <row r="1325">
      <c r="A1325" s="17"/>
    </row>
    <row r="1326">
      <c r="A1326" s="17"/>
    </row>
    <row r="1327">
      <c r="A1327" s="17"/>
    </row>
    <row r="1328">
      <c r="A1328" s="17"/>
    </row>
    <row r="1329">
      <c r="A1329" s="17"/>
    </row>
    <row r="1330">
      <c r="A1330" s="17"/>
    </row>
    <row r="1331">
      <c r="A1331" s="17"/>
    </row>
    <row r="1332">
      <c r="A1332" s="18"/>
    </row>
    <row r="1333">
      <c r="A1333" s="18"/>
    </row>
    <row r="1334">
      <c r="A1334" s="18"/>
    </row>
    <row r="1335">
      <c r="A1335" s="18"/>
    </row>
    <row r="1336">
      <c r="A1336" s="18"/>
    </row>
    <row r="1337">
      <c r="A1337" s="18"/>
    </row>
    <row r="1338">
      <c r="A1338" s="18"/>
    </row>
    <row r="1339">
      <c r="A1339" s="18"/>
    </row>
    <row r="1340">
      <c r="A1340" s="18"/>
    </row>
    <row r="1341">
      <c r="A1341" s="18"/>
      <c r="C1341" s="16"/>
    </row>
    <row r="1342">
      <c r="A1342" s="17"/>
    </row>
    <row r="1343">
      <c r="A1343" s="17"/>
    </row>
    <row r="1344">
      <c r="A1344" s="17"/>
    </row>
    <row r="1345">
      <c r="A1345" s="17"/>
    </row>
    <row r="1346">
      <c r="A1346" s="17"/>
    </row>
    <row r="1347">
      <c r="A1347" s="17"/>
    </row>
    <row r="1348">
      <c r="A1348" s="17"/>
    </row>
    <row r="1349">
      <c r="A1349" s="18"/>
    </row>
    <row r="1350">
      <c r="A1350" s="18"/>
    </row>
    <row r="1351">
      <c r="A1351" s="18"/>
    </row>
    <row r="1352">
      <c r="A1352" s="18"/>
    </row>
    <row r="1353">
      <c r="A1353" s="18"/>
    </row>
    <row r="1354">
      <c r="A1354" s="18"/>
    </row>
    <row r="1355">
      <c r="A1355" s="18"/>
    </row>
    <row r="1356">
      <c r="A1356" s="18"/>
    </row>
    <row r="1357">
      <c r="A1357" s="18"/>
    </row>
    <row r="1358">
      <c r="A1358" s="18"/>
      <c r="C1358" s="16"/>
    </row>
    <row r="1359">
      <c r="A1359" s="17"/>
    </row>
    <row r="1360">
      <c r="A1360" s="17"/>
    </row>
    <row r="1361">
      <c r="A1361" s="17"/>
    </row>
    <row r="1362">
      <c r="A1362" s="17"/>
    </row>
    <row r="1363">
      <c r="A1363" s="17"/>
    </row>
    <row r="1364">
      <c r="A1364" s="17"/>
    </row>
    <row r="1365">
      <c r="A1365" s="17"/>
    </row>
    <row r="1366">
      <c r="A1366" s="18"/>
    </row>
    <row r="1367">
      <c r="A1367" s="18"/>
    </row>
    <row r="1368">
      <c r="A1368" s="18"/>
    </row>
    <row r="1369">
      <c r="A1369" s="18"/>
    </row>
    <row r="1370">
      <c r="A1370" s="18"/>
    </row>
    <row r="1371">
      <c r="A1371" s="18"/>
    </row>
    <row r="1372">
      <c r="A1372" s="18"/>
    </row>
    <row r="1373">
      <c r="A1373" s="18"/>
    </row>
    <row r="1374">
      <c r="A1374" s="18"/>
    </row>
    <row r="1375">
      <c r="A1375" s="18"/>
      <c r="C1375" s="16"/>
    </row>
    <row r="1376">
      <c r="A1376" s="17"/>
    </row>
    <row r="1377">
      <c r="A1377" s="17"/>
    </row>
    <row r="1378">
      <c r="A1378" s="17"/>
    </row>
    <row r="1379">
      <c r="A1379" s="17"/>
    </row>
    <row r="1380">
      <c r="A1380" s="17"/>
    </row>
    <row r="1381">
      <c r="A1381" s="17"/>
    </row>
    <row r="1382">
      <c r="A1382" s="17"/>
    </row>
    <row r="1383">
      <c r="A1383" s="18"/>
    </row>
    <row r="1384">
      <c r="A1384" s="18"/>
    </row>
    <row r="1385">
      <c r="A1385" s="18"/>
    </row>
    <row r="1386">
      <c r="A1386" s="18"/>
    </row>
    <row r="1387">
      <c r="A1387" s="18"/>
    </row>
    <row r="1388">
      <c r="A1388" s="18"/>
    </row>
    <row r="1389">
      <c r="A1389" s="18"/>
    </row>
    <row r="1390">
      <c r="A1390" s="18"/>
    </row>
    <row r="1391">
      <c r="A1391" s="18"/>
    </row>
    <row r="1392">
      <c r="A1392" s="18"/>
      <c r="C1392" s="16"/>
    </row>
    <row r="1393">
      <c r="A1393" s="17"/>
    </row>
    <row r="1394">
      <c r="A1394" s="17"/>
    </row>
    <row r="1395">
      <c r="A1395" s="17"/>
    </row>
    <row r="1396">
      <c r="A1396" s="17"/>
    </row>
    <row r="1397">
      <c r="A1397" s="17"/>
    </row>
    <row r="1398">
      <c r="A1398" s="17"/>
    </row>
    <row r="1399">
      <c r="A1399" s="17"/>
    </row>
    <row r="1400">
      <c r="A1400" s="18"/>
    </row>
    <row r="1401">
      <c r="A1401" s="18"/>
    </row>
    <row r="1402">
      <c r="A1402" s="18"/>
    </row>
    <row r="1403">
      <c r="A1403" s="18"/>
    </row>
    <row r="1404">
      <c r="A1404" s="18"/>
    </row>
    <row r="1405">
      <c r="A1405" s="18"/>
    </row>
    <row r="1406">
      <c r="A1406" s="18"/>
    </row>
    <row r="1407">
      <c r="A1407" s="18"/>
    </row>
    <row r="1408">
      <c r="A1408" s="18"/>
    </row>
    <row r="1409">
      <c r="A1409" s="18"/>
      <c r="C1409" s="16"/>
    </row>
    <row r="1410">
      <c r="A1410" s="17"/>
    </row>
    <row r="1411">
      <c r="A1411" s="17"/>
    </row>
    <row r="1412">
      <c r="A1412" s="17"/>
    </row>
    <row r="1413">
      <c r="A1413" s="17"/>
    </row>
    <row r="1414">
      <c r="A1414" s="17"/>
    </row>
    <row r="1415">
      <c r="A1415" s="17"/>
    </row>
    <row r="1416">
      <c r="A1416" s="17"/>
    </row>
    <row r="1417">
      <c r="A1417" s="18"/>
    </row>
    <row r="1418">
      <c r="A1418" s="18"/>
    </row>
    <row r="1419">
      <c r="A1419" s="18"/>
    </row>
    <row r="1420">
      <c r="A1420" s="18"/>
    </row>
    <row r="1421">
      <c r="A1421" s="18"/>
    </row>
    <row r="1422">
      <c r="A1422" s="18"/>
    </row>
    <row r="1423">
      <c r="A1423" s="18"/>
    </row>
    <row r="1424">
      <c r="A1424" s="18"/>
    </row>
    <row r="1425">
      <c r="A1425" s="18"/>
    </row>
    <row r="1426">
      <c r="A1426" s="18"/>
      <c r="C1426" s="16"/>
    </row>
    <row r="1427">
      <c r="A1427" s="17"/>
    </row>
    <row r="1428">
      <c r="A1428" s="17"/>
    </row>
    <row r="1429">
      <c r="A1429" s="17"/>
    </row>
    <row r="1430">
      <c r="A1430" s="17"/>
    </row>
    <row r="1431">
      <c r="A1431" s="17"/>
    </row>
    <row r="1432">
      <c r="A1432" s="17"/>
    </row>
    <row r="1433">
      <c r="A1433" s="17"/>
    </row>
    <row r="1434">
      <c r="A1434" s="18"/>
    </row>
    <row r="1435">
      <c r="A1435" s="18"/>
    </row>
    <row r="1436">
      <c r="A1436" s="18"/>
    </row>
    <row r="1437">
      <c r="A1437" s="18"/>
    </row>
    <row r="1438">
      <c r="A1438" s="18"/>
    </row>
    <row r="1439">
      <c r="A1439" s="18"/>
    </row>
    <row r="1440">
      <c r="A1440" s="18"/>
    </row>
    <row r="1441">
      <c r="A1441" s="18"/>
    </row>
    <row r="1442">
      <c r="A1442" s="18"/>
    </row>
    <row r="1443">
      <c r="A1443" s="18"/>
      <c r="C1443" s="16"/>
    </row>
    <row r="1444">
      <c r="A1444" s="17"/>
    </row>
    <row r="1445">
      <c r="A1445" s="17"/>
    </row>
    <row r="1446">
      <c r="A1446" s="17"/>
    </row>
    <row r="1447">
      <c r="A1447" s="17"/>
    </row>
    <row r="1448">
      <c r="A1448" s="17"/>
    </row>
    <row r="1449">
      <c r="A1449" s="17"/>
    </row>
    <row r="1450">
      <c r="A1450" s="17"/>
    </row>
    <row r="1451">
      <c r="A1451" s="18"/>
    </row>
    <row r="1452">
      <c r="A1452" s="18"/>
    </row>
    <row r="1453">
      <c r="A1453" s="18"/>
    </row>
    <row r="1454">
      <c r="A1454" s="18"/>
    </row>
    <row r="1455">
      <c r="A1455" s="18"/>
    </row>
    <row r="1456">
      <c r="A1456" s="18"/>
    </row>
    <row r="1457">
      <c r="A1457" s="18"/>
    </row>
    <row r="1458">
      <c r="A1458" s="18"/>
    </row>
    <row r="1459">
      <c r="A1459" s="18"/>
    </row>
    <row r="1460">
      <c r="A1460" s="18"/>
      <c r="C1460" s="16"/>
    </row>
    <row r="1461">
      <c r="A1461" s="17"/>
    </row>
    <row r="1462">
      <c r="A1462" s="17"/>
    </row>
    <row r="1463">
      <c r="A1463" s="17"/>
    </row>
    <row r="1464">
      <c r="A1464" s="17"/>
    </row>
    <row r="1465">
      <c r="A1465" s="17"/>
    </row>
    <row r="1466">
      <c r="A1466" s="17"/>
    </row>
    <row r="1467">
      <c r="A1467" s="17"/>
    </row>
    <row r="1468">
      <c r="A1468" s="18"/>
    </row>
    <row r="1469">
      <c r="A1469" s="18"/>
    </row>
    <row r="1470">
      <c r="A1470" s="18"/>
    </row>
    <row r="1471">
      <c r="A1471" s="18"/>
    </row>
    <row r="1472">
      <c r="A1472" s="18"/>
    </row>
    <row r="1473">
      <c r="A1473" s="18"/>
    </row>
    <row r="1474">
      <c r="A1474" s="18"/>
    </row>
    <row r="1475">
      <c r="A1475" s="18"/>
    </row>
    <row r="1476">
      <c r="A1476" s="18"/>
    </row>
    <row r="1477">
      <c r="A1477" s="18"/>
      <c r="C1477" s="16"/>
    </row>
    <row r="1478">
      <c r="A1478" s="17"/>
    </row>
    <row r="1479">
      <c r="A1479" s="17"/>
    </row>
    <row r="1480">
      <c r="A1480" s="17"/>
    </row>
    <row r="1481">
      <c r="A1481" s="17"/>
    </row>
    <row r="1482">
      <c r="A1482" s="17"/>
    </row>
    <row r="1483">
      <c r="A1483" s="17"/>
    </row>
    <row r="1484">
      <c r="A1484" s="17"/>
    </row>
    <row r="1485">
      <c r="A1485" s="18"/>
    </row>
    <row r="1486">
      <c r="A1486" s="18"/>
    </row>
    <row r="1487">
      <c r="A1487" s="18"/>
    </row>
    <row r="1488">
      <c r="A1488" s="18"/>
    </row>
    <row r="1489">
      <c r="A1489" s="18"/>
    </row>
    <row r="1490">
      <c r="A1490" s="18"/>
    </row>
    <row r="1491">
      <c r="A1491" s="18"/>
    </row>
    <row r="1492">
      <c r="A1492" s="18"/>
    </row>
    <row r="1493">
      <c r="A1493" s="18"/>
    </row>
    <row r="1494">
      <c r="A1494" s="18"/>
      <c r="C1494" s="16"/>
    </row>
    <row r="1495">
      <c r="A1495" s="17"/>
    </row>
    <row r="1496">
      <c r="A1496" s="17"/>
    </row>
    <row r="1497">
      <c r="A1497" s="17"/>
    </row>
    <row r="1498">
      <c r="A1498" s="17"/>
    </row>
    <row r="1499">
      <c r="A1499" s="17"/>
    </row>
    <row r="1500">
      <c r="A1500" s="17"/>
    </row>
    <row r="1501">
      <c r="A1501" s="17"/>
    </row>
    <row r="1502">
      <c r="A1502" s="18"/>
    </row>
    <row r="1503">
      <c r="A1503" s="18"/>
    </row>
    <row r="1504">
      <c r="A1504" s="18"/>
    </row>
    <row r="1505">
      <c r="A1505" s="18"/>
    </row>
    <row r="1506">
      <c r="A1506" s="18"/>
    </row>
    <row r="1507">
      <c r="A1507" s="18"/>
    </row>
    <row r="1508">
      <c r="A1508" s="18"/>
    </row>
    <row r="1509">
      <c r="A1509" s="18"/>
    </row>
    <row r="1510">
      <c r="A1510" s="18"/>
    </row>
    <row r="1511">
      <c r="A1511" s="18"/>
      <c r="C1511" s="16"/>
    </row>
    <row r="1512">
      <c r="A1512" s="17"/>
    </row>
    <row r="1513">
      <c r="A1513" s="17"/>
    </row>
    <row r="1514">
      <c r="A1514" s="17"/>
    </row>
    <row r="1515">
      <c r="A1515" s="17"/>
    </row>
    <row r="1516">
      <c r="A1516" s="17"/>
    </row>
    <row r="1517">
      <c r="A1517" s="17"/>
    </row>
    <row r="1518">
      <c r="A1518" s="17"/>
    </row>
    <row r="1519">
      <c r="A1519" s="18"/>
    </row>
    <row r="1520">
      <c r="A1520" s="18"/>
    </row>
    <row r="1521">
      <c r="A1521" s="18"/>
    </row>
    <row r="1522">
      <c r="A1522" s="18"/>
    </row>
    <row r="1523">
      <c r="A1523" s="18"/>
    </row>
    <row r="1524">
      <c r="A1524" s="18"/>
    </row>
    <row r="1525">
      <c r="A1525" s="18"/>
    </row>
    <row r="1526">
      <c r="A1526" s="18"/>
    </row>
    <row r="1527">
      <c r="A1527" s="18"/>
    </row>
    <row r="1528">
      <c r="A1528" s="18"/>
      <c r="C1528" s="16"/>
    </row>
    <row r="1529">
      <c r="A1529" s="17"/>
    </row>
    <row r="1530">
      <c r="A1530" s="17"/>
    </row>
    <row r="1531">
      <c r="A1531" s="17"/>
    </row>
    <row r="1532">
      <c r="A1532" s="17"/>
    </row>
    <row r="1533">
      <c r="A1533" s="17"/>
    </row>
    <row r="1534">
      <c r="A1534" s="17"/>
    </row>
    <row r="1535">
      <c r="A1535" s="17"/>
    </row>
    <row r="1536">
      <c r="A1536" s="18"/>
    </row>
    <row r="1537">
      <c r="A1537" s="18"/>
    </row>
    <row r="1538">
      <c r="A1538" s="18"/>
    </row>
    <row r="1539">
      <c r="A1539" s="18"/>
    </row>
    <row r="1540">
      <c r="A1540" s="18"/>
    </row>
    <row r="1541">
      <c r="A1541" s="18"/>
    </row>
    <row r="1542">
      <c r="A1542" s="18"/>
    </row>
    <row r="1543">
      <c r="A1543" s="18"/>
    </row>
    <row r="1544">
      <c r="A1544" s="18"/>
    </row>
    <row r="1545">
      <c r="A1545" s="18"/>
      <c r="C1545" s="16"/>
    </row>
    <row r="1546">
      <c r="A1546" s="17"/>
    </row>
    <row r="1547">
      <c r="A1547" s="17"/>
    </row>
    <row r="1548">
      <c r="A1548" s="17"/>
    </row>
    <row r="1549">
      <c r="A1549" s="17"/>
    </row>
    <row r="1550">
      <c r="A1550" s="17"/>
    </row>
    <row r="1551">
      <c r="A1551" s="17"/>
    </row>
    <row r="1552">
      <c r="A1552" s="17"/>
    </row>
    <row r="1553">
      <c r="A1553" s="18"/>
    </row>
    <row r="1554">
      <c r="A1554" s="18"/>
    </row>
    <row r="1555">
      <c r="A1555" s="18"/>
    </row>
    <row r="1556">
      <c r="A1556" s="18"/>
    </row>
    <row r="1557">
      <c r="A1557" s="18"/>
    </row>
    <row r="1558">
      <c r="A1558" s="18"/>
    </row>
    <row r="1559">
      <c r="A1559" s="18"/>
    </row>
    <row r="1560">
      <c r="A1560" s="18"/>
    </row>
    <row r="1561">
      <c r="A1561" s="18"/>
    </row>
    <row r="1562">
      <c r="A1562" s="18"/>
      <c r="C1562" s="16"/>
    </row>
    <row r="1563">
      <c r="A1563" s="17"/>
    </row>
    <row r="1564">
      <c r="A1564" s="17"/>
    </row>
    <row r="1565">
      <c r="A1565" s="17"/>
    </row>
    <row r="1566">
      <c r="A1566" s="17"/>
    </row>
    <row r="1567">
      <c r="A1567" s="17"/>
    </row>
    <row r="1568">
      <c r="A1568" s="17"/>
    </row>
    <row r="1569">
      <c r="A1569" s="17"/>
    </row>
    <row r="1570">
      <c r="A1570" s="18"/>
    </row>
    <row r="1571">
      <c r="A1571" s="18"/>
    </row>
    <row r="1572">
      <c r="A1572" s="18"/>
    </row>
    <row r="1573">
      <c r="A1573" s="18"/>
    </row>
    <row r="1574">
      <c r="A1574" s="18"/>
    </row>
    <row r="1575">
      <c r="A1575" s="18"/>
    </row>
    <row r="1576">
      <c r="A1576" s="18"/>
    </row>
    <row r="1577">
      <c r="A1577" s="18"/>
    </row>
    <row r="1578">
      <c r="A1578" s="18"/>
    </row>
    <row r="1579">
      <c r="A1579" s="18"/>
      <c r="C1579" s="16"/>
    </row>
    <row r="1580">
      <c r="A1580" s="17"/>
    </row>
    <row r="1581">
      <c r="A1581" s="17"/>
    </row>
    <row r="1582">
      <c r="A1582" s="17"/>
    </row>
    <row r="1583">
      <c r="A1583" s="17"/>
    </row>
    <row r="1584">
      <c r="A1584" s="17"/>
    </row>
    <row r="1585">
      <c r="A1585" s="17"/>
    </row>
    <row r="1586">
      <c r="A1586" s="17"/>
    </row>
    <row r="1587">
      <c r="A1587" s="18"/>
    </row>
    <row r="1588">
      <c r="A1588" s="18"/>
    </row>
    <row r="1589">
      <c r="A1589" s="18"/>
    </row>
    <row r="1590">
      <c r="A1590" s="18"/>
    </row>
    <row r="1591">
      <c r="A1591" s="18"/>
    </row>
    <row r="1592">
      <c r="A1592" s="18"/>
    </row>
    <row r="1593">
      <c r="A1593" s="18"/>
    </row>
    <row r="1594">
      <c r="A1594" s="18"/>
    </row>
    <row r="1595">
      <c r="A1595" s="18"/>
    </row>
    <row r="1596">
      <c r="A1596" s="18"/>
      <c r="C1596" s="16"/>
    </row>
    <row r="1597">
      <c r="A1597" s="17"/>
    </row>
    <row r="1598">
      <c r="A1598" s="17"/>
    </row>
    <row r="1599">
      <c r="A1599" s="17"/>
    </row>
    <row r="1600">
      <c r="A1600" s="17"/>
    </row>
    <row r="1601">
      <c r="A1601" s="17"/>
    </row>
    <row r="1602">
      <c r="A1602" s="17"/>
    </row>
    <row r="1603">
      <c r="A1603" s="17"/>
    </row>
    <row r="1604">
      <c r="A1604" s="18"/>
    </row>
    <row r="1605">
      <c r="A1605" s="18"/>
    </row>
    <row r="1606">
      <c r="A1606" s="18"/>
    </row>
    <row r="1607">
      <c r="A1607" s="18"/>
    </row>
    <row r="1608">
      <c r="A1608" s="18"/>
    </row>
    <row r="1609">
      <c r="A1609" s="18"/>
    </row>
    <row r="1610">
      <c r="A1610" s="18"/>
    </row>
    <row r="1611">
      <c r="A1611" s="18"/>
    </row>
    <row r="1612">
      <c r="A1612" s="18"/>
    </row>
    <row r="1613">
      <c r="A1613" s="18"/>
      <c r="C1613" s="16"/>
    </row>
    <row r="1614">
      <c r="A1614" s="17"/>
    </row>
    <row r="1615">
      <c r="A1615" s="17"/>
    </row>
    <row r="1616">
      <c r="A1616" s="17"/>
    </row>
    <row r="1617">
      <c r="A1617" s="17"/>
    </row>
    <row r="1618">
      <c r="A1618" s="17"/>
    </row>
    <row r="1619">
      <c r="A1619" s="17"/>
    </row>
    <row r="1620">
      <c r="A1620" s="17"/>
    </row>
    <row r="1621">
      <c r="A1621" s="18"/>
    </row>
    <row r="1622">
      <c r="A1622" s="18"/>
    </row>
    <row r="1623">
      <c r="A1623" s="18"/>
    </row>
    <row r="1624">
      <c r="A1624" s="18"/>
    </row>
    <row r="1625">
      <c r="A1625" s="18"/>
    </row>
    <row r="1626">
      <c r="A1626" s="18"/>
    </row>
    <row r="1627">
      <c r="A1627" s="18"/>
    </row>
    <row r="1628">
      <c r="A1628" s="18"/>
    </row>
    <row r="1629">
      <c r="A1629" s="18"/>
    </row>
    <row r="1630">
      <c r="A1630" s="18"/>
      <c r="C1630" s="16"/>
    </row>
    <row r="1631">
      <c r="A1631" s="17"/>
    </row>
    <row r="1632">
      <c r="A1632" s="17"/>
    </row>
    <row r="1633">
      <c r="A1633" s="17"/>
    </row>
    <row r="1634">
      <c r="A1634" s="17"/>
    </row>
    <row r="1635">
      <c r="A1635" s="17"/>
    </row>
    <row r="1636">
      <c r="A1636" s="17"/>
    </row>
    <row r="1637">
      <c r="A1637" s="17"/>
    </row>
    <row r="1638">
      <c r="A1638" s="18"/>
    </row>
    <row r="1639">
      <c r="A1639" s="18"/>
    </row>
    <row r="1640">
      <c r="A1640" s="18"/>
    </row>
    <row r="1641">
      <c r="A1641" s="18"/>
    </row>
    <row r="1642">
      <c r="A1642" s="18"/>
    </row>
    <row r="1643">
      <c r="A1643" s="18"/>
    </row>
    <row r="1644">
      <c r="A1644" s="18"/>
    </row>
    <row r="1645">
      <c r="A1645" s="18"/>
    </row>
    <row r="1646">
      <c r="A1646" s="18"/>
    </row>
    <row r="1647">
      <c r="A1647" s="18"/>
      <c r="C1647" s="16"/>
    </row>
    <row r="1648">
      <c r="A1648" s="17"/>
    </row>
    <row r="1649">
      <c r="A1649" s="17"/>
    </row>
    <row r="1650">
      <c r="A1650" s="17"/>
    </row>
    <row r="1651">
      <c r="A1651" s="17"/>
    </row>
    <row r="1652">
      <c r="A1652" s="17"/>
    </row>
    <row r="1653">
      <c r="A1653" s="17"/>
    </row>
    <row r="1654">
      <c r="A1654" s="17"/>
    </row>
    <row r="1655">
      <c r="A1655" s="18"/>
    </row>
    <row r="1656">
      <c r="A1656" s="18"/>
    </row>
    <row r="1657">
      <c r="A1657" s="18"/>
    </row>
    <row r="1658">
      <c r="A1658" s="18"/>
    </row>
    <row r="1659">
      <c r="A1659" s="18"/>
    </row>
    <row r="1660">
      <c r="A1660" s="18"/>
    </row>
    <row r="1661">
      <c r="A1661" s="18"/>
    </row>
    <row r="1662">
      <c r="A1662" s="18"/>
    </row>
    <row r="1663">
      <c r="A1663" s="18"/>
    </row>
    <row r="1664">
      <c r="A1664" s="18"/>
      <c r="C1664" s="16"/>
    </row>
    <row r="1665">
      <c r="A1665" s="17"/>
    </row>
    <row r="1666">
      <c r="A1666" s="17"/>
    </row>
    <row r="1667">
      <c r="A1667" s="17"/>
    </row>
    <row r="1668">
      <c r="A1668" s="17"/>
    </row>
    <row r="1669">
      <c r="A1669" s="17"/>
    </row>
    <row r="1670">
      <c r="A1670" s="17"/>
    </row>
    <row r="1671">
      <c r="A1671" s="17"/>
    </row>
    <row r="1672">
      <c r="A1672" s="18"/>
    </row>
    <row r="1673">
      <c r="A1673" s="18"/>
    </row>
    <row r="1674">
      <c r="A1674" s="18"/>
    </row>
    <row r="1675">
      <c r="A1675" s="18"/>
    </row>
    <row r="1676">
      <c r="A1676" s="18"/>
    </row>
    <row r="1677">
      <c r="A1677" s="18"/>
    </row>
    <row r="1678">
      <c r="A1678" s="18"/>
    </row>
    <row r="1679">
      <c r="A1679" s="18"/>
    </row>
    <row r="1680">
      <c r="A1680" s="18"/>
    </row>
    <row r="1681">
      <c r="A1681" s="18"/>
      <c r="C1681" s="16"/>
    </row>
    <row r="1682">
      <c r="A1682" s="17"/>
    </row>
    <row r="1683">
      <c r="A1683" s="17"/>
    </row>
    <row r="1684">
      <c r="A1684" s="17"/>
    </row>
    <row r="1685">
      <c r="A1685" s="17"/>
    </row>
    <row r="1686">
      <c r="A1686" s="17"/>
    </row>
    <row r="1687">
      <c r="A1687" s="17"/>
    </row>
    <row r="1688">
      <c r="A1688" s="17"/>
    </row>
    <row r="1689">
      <c r="A1689" s="18"/>
    </row>
    <row r="1690">
      <c r="A1690" s="18"/>
    </row>
    <row r="1691">
      <c r="A1691" s="18"/>
    </row>
    <row r="1692">
      <c r="A1692" s="18"/>
    </row>
    <row r="1693">
      <c r="A1693" s="18"/>
    </row>
    <row r="1694">
      <c r="A1694" s="18"/>
    </row>
    <row r="1695">
      <c r="A1695" s="18"/>
    </row>
    <row r="1696">
      <c r="A1696" s="18"/>
    </row>
    <row r="1697">
      <c r="A1697" s="18"/>
    </row>
    <row r="1698">
      <c r="A1698" s="18"/>
      <c r="C1698" s="16"/>
    </row>
    <row r="1699">
      <c r="A1699" s="17"/>
    </row>
    <row r="1700">
      <c r="A1700" s="17"/>
    </row>
    <row r="1701">
      <c r="A1701" s="17"/>
    </row>
    <row r="1702">
      <c r="A1702" s="17"/>
    </row>
    <row r="1703">
      <c r="A1703" s="17"/>
    </row>
    <row r="1704">
      <c r="A1704" s="17"/>
    </row>
    <row r="1705">
      <c r="A1705" s="17"/>
    </row>
    <row r="1706">
      <c r="A1706" s="18"/>
    </row>
    <row r="1707">
      <c r="A1707" s="18"/>
    </row>
    <row r="1708">
      <c r="A1708" s="18"/>
    </row>
    <row r="1709">
      <c r="A1709" s="18"/>
    </row>
    <row r="1710">
      <c r="A1710" s="18"/>
    </row>
    <row r="1711">
      <c r="A1711" s="18"/>
    </row>
    <row r="1712">
      <c r="A1712" s="18"/>
    </row>
    <row r="1713">
      <c r="A1713" s="18"/>
    </row>
    <row r="1714">
      <c r="A1714" s="18"/>
    </row>
    <row r="1715">
      <c r="A1715" s="18"/>
      <c r="C1715" s="16"/>
    </row>
    <row r="1716">
      <c r="A1716" s="17"/>
    </row>
    <row r="1717">
      <c r="A1717" s="17"/>
    </row>
    <row r="1718">
      <c r="A1718" s="17"/>
    </row>
    <row r="1719">
      <c r="A1719" s="17"/>
    </row>
    <row r="1720">
      <c r="A1720" s="17"/>
    </row>
    <row r="1721">
      <c r="A1721" s="17"/>
    </row>
    <row r="1722">
      <c r="A1722" s="17"/>
    </row>
    <row r="1723">
      <c r="A1723" s="18"/>
    </row>
    <row r="1724">
      <c r="A1724" s="18"/>
    </row>
    <row r="1725">
      <c r="A1725" s="18"/>
    </row>
    <row r="1726">
      <c r="A1726" s="18"/>
    </row>
    <row r="1727">
      <c r="A1727" s="18"/>
    </row>
    <row r="1728">
      <c r="A1728" s="18"/>
    </row>
    <row r="1729">
      <c r="A1729" s="18"/>
    </row>
    <row r="1730">
      <c r="A1730" s="18"/>
    </row>
    <row r="1731">
      <c r="A1731" s="18"/>
    </row>
    <row r="1732">
      <c r="A1732" s="18"/>
      <c r="C1732" s="16"/>
    </row>
    <row r="1733">
      <c r="A1733" s="17"/>
    </row>
    <row r="1734">
      <c r="A1734" s="17"/>
    </row>
    <row r="1735">
      <c r="A1735" s="17"/>
    </row>
    <row r="1736">
      <c r="A1736" s="17"/>
    </row>
    <row r="1737">
      <c r="A1737" s="17"/>
    </row>
    <row r="1738">
      <c r="A1738" s="17"/>
    </row>
    <row r="1739">
      <c r="A1739" s="17"/>
    </row>
    <row r="1740">
      <c r="A1740" s="18"/>
    </row>
    <row r="1741">
      <c r="A1741" s="18"/>
    </row>
    <row r="1742">
      <c r="A1742" s="18"/>
    </row>
    <row r="1743">
      <c r="A1743" s="18"/>
    </row>
    <row r="1744">
      <c r="A1744" s="18"/>
    </row>
    <row r="1745">
      <c r="A1745" s="18"/>
    </row>
    <row r="1746">
      <c r="A1746" s="18"/>
    </row>
    <row r="1747">
      <c r="A1747" s="18"/>
    </row>
    <row r="1748">
      <c r="A1748" s="18"/>
    </row>
    <row r="1749">
      <c r="A1749" s="18"/>
      <c r="C1749" s="16"/>
    </row>
    <row r="1750">
      <c r="A1750" s="17"/>
    </row>
    <row r="1751">
      <c r="A1751" s="17"/>
    </row>
    <row r="1752">
      <c r="A1752" s="17"/>
    </row>
    <row r="1753">
      <c r="A1753" s="17"/>
    </row>
    <row r="1754">
      <c r="A1754" s="17"/>
    </row>
    <row r="1755">
      <c r="A1755" s="17"/>
    </row>
    <row r="1756">
      <c r="A1756" s="17"/>
    </row>
    <row r="1757">
      <c r="A1757" s="18"/>
    </row>
    <row r="1758">
      <c r="A1758" s="18"/>
    </row>
    <row r="1759">
      <c r="A1759" s="18"/>
    </row>
    <row r="1760">
      <c r="A1760" s="18"/>
    </row>
    <row r="1761">
      <c r="A1761" s="18"/>
    </row>
    <row r="1762">
      <c r="A1762" s="18"/>
    </row>
    <row r="1763">
      <c r="A1763" s="18"/>
    </row>
    <row r="1764">
      <c r="A1764" s="18"/>
    </row>
    <row r="1765">
      <c r="A1765" s="18"/>
    </row>
    <row r="1766">
      <c r="A1766" s="18"/>
      <c r="C1766" s="16"/>
    </row>
    <row r="1767">
      <c r="A1767" s="17"/>
    </row>
    <row r="1768">
      <c r="A1768" s="17"/>
    </row>
    <row r="1769">
      <c r="A1769" s="17"/>
    </row>
    <row r="1770">
      <c r="A1770" s="17"/>
    </row>
    <row r="1771">
      <c r="A1771" s="17"/>
    </row>
    <row r="1772">
      <c r="A1772" s="17"/>
    </row>
    <row r="1773">
      <c r="A1773" s="17"/>
    </row>
    <row r="1774">
      <c r="A1774" s="18"/>
    </row>
    <row r="1775">
      <c r="A1775" s="18"/>
    </row>
    <row r="1776">
      <c r="A1776" s="18"/>
    </row>
    <row r="1777">
      <c r="A1777" s="18"/>
    </row>
    <row r="1778">
      <c r="A1778" s="18"/>
    </row>
    <row r="1779">
      <c r="A1779" s="18"/>
    </row>
    <row r="1780">
      <c r="A1780" s="18"/>
    </row>
    <row r="1781">
      <c r="A1781" s="18"/>
    </row>
    <row r="1782">
      <c r="A1782" s="18"/>
    </row>
    <row r="1783">
      <c r="A1783" s="18"/>
      <c r="C1783" s="16"/>
    </row>
    <row r="1784">
      <c r="A1784" s="17"/>
    </row>
    <row r="1785">
      <c r="A1785" s="17"/>
    </row>
    <row r="1786">
      <c r="A1786" s="17"/>
    </row>
    <row r="1787">
      <c r="A1787" s="17"/>
    </row>
    <row r="1788">
      <c r="A1788" s="17"/>
    </row>
    <row r="1789">
      <c r="A1789" s="17"/>
    </row>
    <row r="1790">
      <c r="A1790" s="17"/>
    </row>
    <row r="1791">
      <c r="A1791" s="18"/>
    </row>
    <row r="1792">
      <c r="A1792" s="18"/>
    </row>
    <row r="1793">
      <c r="A1793" s="18"/>
    </row>
    <row r="1794">
      <c r="A1794" s="18"/>
    </row>
    <row r="1795">
      <c r="A1795" s="18"/>
    </row>
    <row r="1796">
      <c r="A1796" s="18"/>
    </row>
    <row r="1797">
      <c r="A1797" s="18"/>
    </row>
    <row r="1798">
      <c r="A1798" s="18"/>
    </row>
    <row r="1799">
      <c r="A1799" s="18"/>
    </row>
    <row r="1800">
      <c r="A1800" s="18"/>
      <c r="C1800" s="16"/>
    </row>
    <row r="1801">
      <c r="A1801" s="17"/>
    </row>
    <row r="1802">
      <c r="A1802" s="17"/>
    </row>
    <row r="1803">
      <c r="A1803" s="17"/>
    </row>
    <row r="1804">
      <c r="A1804" s="17"/>
    </row>
    <row r="1805">
      <c r="A1805" s="17"/>
    </row>
    <row r="1806">
      <c r="A1806" s="17"/>
    </row>
    <row r="1807">
      <c r="A1807" s="17"/>
    </row>
    <row r="1808">
      <c r="A1808" s="18"/>
    </row>
    <row r="1809">
      <c r="A1809" s="18"/>
    </row>
    <row r="1810">
      <c r="A1810" s="18"/>
    </row>
    <row r="1811">
      <c r="A1811" s="18"/>
    </row>
    <row r="1812">
      <c r="A1812" s="18"/>
    </row>
    <row r="1813">
      <c r="A1813" s="18"/>
    </row>
    <row r="1814">
      <c r="A1814" s="18"/>
    </row>
    <row r="1815">
      <c r="A1815" s="18"/>
    </row>
    <row r="1816">
      <c r="A1816" s="18"/>
    </row>
    <row r="1817">
      <c r="A1817" s="18"/>
      <c r="C1817" s="16"/>
    </row>
    <row r="1818">
      <c r="A1818" s="17"/>
    </row>
    <row r="1819">
      <c r="A1819" s="17"/>
    </row>
    <row r="1820">
      <c r="A1820" s="17"/>
    </row>
    <row r="1821">
      <c r="A1821" s="17"/>
    </row>
    <row r="1822">
      <c r="A1822" s="17"/>
    </row>
    <row r="1823">
      <c r="A1823" s="17"/>
    </row>
    <row r="1824">
      <c r="A1824" s="17"/>
    </row>
    <row r="1825">
      <c r="A1825" s="18"/>
    </row>
    <row r="1826">
      <c r="A1826" s="18"/>
    </row>
    <row r="1827">
      <c r="A1827" s="18"/>
    </row>
    <row r="1828">
      <c r="A1828" s="18"/>
    </row>
    <row r="1829">
      <c r="A1829" s="18"/>
    </row>
    <row r="1830">
      <c r="A1830" s="18"/>
    </row>
    <row r="1831">
      <c r="A1831" s="18"/>
    </row>
    <row r="1832">
      <c r="A1832" s="18"/>
    </row>
    <row r="1833">
      <c r="A1833" s="18"/>
    </row>
    <row r="1834">
      <c r="A1834" s="18"/>
      <c r="C1834" s="16"/>
    </row>
    <row r="1835">
      <c r="A1835" s="17"/>
    </row>
    <row r="1836">
      <c r="A1836" s="17"/>
    </row>
    <row r="1837">
      <c r="A1837" s="17"/>
    </row>
    <row r="1838">
      <c r="A1838" s="17"/>
    </row>
    <row r="1839">
      <c r="A1839" s="17"/>
    </row>
    <row r="1840">
      <c r="A1840" s="17"/>
    </row>
    <row r="1841">
      <c r="A1841" s="17"/>
    </row>
    <row r="1842">
      <c r="A1842" s="18"/>
    </row>
    <row r="1843">
      <c r="A1843" s="18"/>
    </row>
    <row r="1844">
      <c r="A1844" s="18"/>
    </row>
    <row r="1845">
      <c r="A1845" s="18"/>
    </row>
    <row r="1846">
      <c r="A1846" s="18"/>
    </row>
    <row r="1847">
      <c r="A1847" s="18"/>
    </row>
    <row r="1848">
      <c r="A1848" s="18"/>
    </row>
    <row r="1849">
      <c r="A1849" s="18"/>
    </row>
    <row r="1850">
      <c r="A1850" s="18"/>
    </row>
    <row r="1851">
      <c r="A1851" s="18"/>
      <c r="C1851" s="16"/>
    </row>
    <row r="1852">
      <c r="A1852" s="17"/>
    </row>
    <row r="1853">
      <c r="A1853" s="17"/>
    </row>
    <row r="1854">
      <c r="A1854" s="17"/>
    </row>
    <row r="1855">
      <c r="A1855" s="17"/>
    </row>
    <row r="1856">
      <c r="A1856" s="17"/>
    </row>
    <row r="1857">
      <c r="A1857" s="17"/>
    </row>
    <row r="1858">
      <c r="A1858" s="17"/>
    </row>
    <row r="1859">
      <c r="A1859" s="18"/>
    </row>
    <row r="1860">
      <c r="A1860" s="18"/>
    </row>
    <row r="1861">
      <c r="A1861" s="18"/>
    </row>
    <row r="1862">
      <c r="A1862" s="18"/>
    </row>
    <row r="1863">
      <c r="A1863" s="18"/>
    </row>
    <row r="1864">
      <c r="A1864" s="18"/>
    </row>
    <row r="1865">
      <c r="A1865" s="18"/>
    </row>
    <row r="1866">
      <c r="A1866" s="18"/>
    </row>
    <row r="1867">
      <c r="A1867" s="18"/>
    </row>
    <row r="1868">
      <c r="A1868" s="18"/>
      <c r="C1868" s="16"/>
    </row>
    <row r="1869">
      <c r="A1869" s="17"/>
    </row>
    <row r="1870">
      <c r="A1870" s="17"/>
    </row>
    <row r="1871">
      <c r="A1871" s="17"/>
    </row>
    <row r="1872">
      <c r="A1872" s="17"/>
    </row>
    <row r="1873">
      <c r="A1873" s="17"/>
    </row>
    <row r="1874">
      <c r="A1874" s="17"/>
    </row>
    <row r="1875">
      <c r="A1875" s="17"/>
    </row>
    <row r="1876">
      <c r="A1876" s="18"/>
    </row>
    <row r="1877">
      <c r="A1877" s="18"/>
    </row>
    <row r="1878">
      <c r="A1878" s="18"/>
    </row>
    <row r="1879">
      <c r="A1879" s="18"/>
    </row>
    <row r="1880">
      <c r="A1880" s="18"/>
    </row>
    <row r="1881">
      <c r="A1881" s="18"/>
    </row>
    <row r="1882">
      <c r="A1882" s="18"/>
    </row>
    <row r="1883">
      <c r="A1883" s="18"/>
    </row>
    <row r="1884">
      <c r="A1884" s="18"/>
    </row>
    <row r="1885">
      <c r="A1885" s="18"/>
      <c r="C1885" s="16"/>
    </row>
    <row r="1886">
      <c r="A1886" s="17"/>
    </row>
    <row r="1887">
      <c r="A1887" s="17"/>
    </row>
    <row r="1888">
      <c r="A1888" s="17"/>
    </row>
    <row r="1889">
      <c r="A1889" s="17"/>
    </row>
    <row r="1890">
      <c r="A1890" s="17"/>
    </row>
    <row r="1891">
      <c r="A1891" s="17"/>
    </row>
    <row r="1892">
      <c r="A1892" s="17"/>
    </row>
    <row r="1893">
      <c r="A1893" s="18"/>
    </row>
    <row r="1894">
      <c r="A1894" s="18"/>
    </row>
    <row r="1895">
      <c r="A1895" s="18"/>
    </row>
    <row r="1896">
      <c r="A1896" s="18"/>
    </row>
    <row r="1897">
      <c r="A1897" s="18"/>
    </row>
    <row r="1898">
      <c r="A1898" s="18"/>
    </row>
    <row r="1899">
      <c r="A1899" s="18"/>
    </row>
    <row r="1900">
      <c r="A1900" s="18"/>
    </row>
    <row r="1901">
      <c r="A1901" s="18"/>
    </row>
    <row r="1902">
      <c r="A1902" s="18"/>
      <c r="C1902" s="16"/>
    </row>
    <row r="1903">
      <c r="A1903" s="17"/>
    </row>
    <row r="1904">
      <c r="A1904" s="17"/>
    </row>
    <row r="1905">
      <c r="A1905" s="17"/>
    </row>
    <row r="1906">
      <c r="A1906" s="17"/>
    </row>
    <row r="1907">
      <c r="A1907" s="17"/>
    </row>
    <row r="1908">
      <c r="A1908" s="17"/>
    </row>
    <row r="1909">
      <c r="A1909" s="17"/>
    </row>
    <row r="1910">
      <c r="A1910" s="18"/>
    </row>
    <row r="1911">
      <c r="A1911" s="18"/>
    </row>
    <row r="1912">
      <c r="A1912" s="18"/>
    </row>
    <row r="1913">
      <c r="A1913" s="18"/>
    </row>
    <row r="1914">
      <c r="A1914" s="18"/>
    </row>
    <row r="1915">
      <c r="A1915" s="18"/>
    </row>
    <row r="1916">
      <c r="A1916" s="18"/>
    </row>
    <row r="1917">
      <c r="A1917" s="18"/>
    </row>
    <row r="1918">
      <c r="A1918" s="18"/>
    </row>
    <row r="1919">
      <c r="A1919" s="18"/>
      <c r="C1919" s="16"/>
    </row>
    <row r="1920">
      <c r="A1920" s="17"/>
    </row>
    <row r="1921">
      <c r="A1921" s="17"/>
    </row>
    <row r="1922">
      <c r="A1922" s="17"/>
    </row>
    <row r="1923">
      <c r="A1923" s="17"/>
    </row>
    <row r="1924">
      <c r="A1924" s="17"/>
    </row>
    <row r="1925">
      <c r="A1925" s="17"/>
    </row>
    <row r="1926">
      <c r="A1926" s="17"/>
    </row>
    <row r="1927">
      <c r="A1927" s="18"/>
    </row>
    <row r="1928">
      <c r="A1928" s="18"/>
    </row>
    <row r="1929">
      <c r="A1929" s="18"/>
    </row>
    <row r="1930">
      <c r="A1930" s="18"/>
    </row>
    <row r="1931">
      <c r="A1931" s="18"/>
    </row>
    <row r="1932">
      <c r="A1932" s="18"/>
    </row>
    <row r="1933">
      <c r="A1933" s="18"/>
    </row>
    <row r="1934">
      <c r="A1934" s="18"/>
    </row>
    <row r="1935">
      <c r="A1935" s="18"/>
    </row>
    <row r="1936">
      <c r="A1936" s="18"/>
      <c r="C1936" s="16"/>
    </row>
    <row r="1937">
      <c r="A1937" s="17"/>
    </row>
    <row r="1938">
      <c r="A1938" s="17"/>
    </row>
    <row r="1939">
      <c r="A1939" s="17"/>
    </row>
    <row r="1940">
      <c r="A1940" s="17"/>
    </row>
    <row r="1941">
      <c r="A1941" s="17"/>
    </row>
    <row r="1942">
      <c r="A1942" s="17"/>
    </row>
    <row r="1943">
      <c r="A1943" s="17"/>
    </row>
    <row r="1944">
      <c r="A1944" s="18"/>
    </row>
    <row r="1945">
      <c r="A1945" s="18"/>
    </row>
    <row r="1946">
      <c r="A1946" s="18"/>
    </row>
    <row r="1947">
      <c r="A1947" s="18"/>
    </row>
    <row r="1948">
      <c r="A1948" s="18"/>
    </row>
    <row r="1949">
      <c r="A1949" s="18"/>
    </row>
    <row r="1950">
      <c r="A1950" s="18"/>
    </row>
    <row r="1951">
      <c r="A1951" s="18"/>
    </row>
    <row r="1952">
      <c r="A1952" s="18"/>
    </row>
    <row r="1953">
      <c r="A1953" s="18"/>
      <c r="C1953" s="16"/>
    </row>
    <row r="1954">
      <c r="A1954" s="17"/>
    </row>
    <row r="1955">
      <c r="A1955" s="17"/>
    </row>
    <row r="1956">
      <c r="A1956" s="17"/>
    </row>
    <row r="1957">
      <c r="A1957" s="17"/>
    </row>
    <row r="1958">
      <c r="A1958" s="17"/>
    </row>
    <row r="1959">
      <c r="A1959" s="17"/>
    </row>
    <row r="1960">
      <c r="A1960" s="17"/>
    </row>
    <row r="1961">
      <c r="A1961" s="18"/>
    </row>
    <row r="1962">
      <c r="A1962" s="18"/>
    </row>
    <row r="1963">
      <c r="A1963" s="18"/>
    </row>
    <row r="1964">
      <c r="A1964" s="18"/>
    </row>
    <row r="1965">
      <c r="A1965" s="18"/>
    </row>
    <row r="1966">
      <c r="A1966" s="18"/>
    </row>
    <row r="1967">
      <c r="A1967" s="18"/>
    </row>
    <row r="1968">
      <c r="A1968" s="18"/>
    </row>
    <row r="1969">
      <c r="A1969" s="18"/>
    </row>
    <row r="1970">
      <c r="A1970" s="18"/>
      <c r="C1970" s="16"/>
    </row>
    <row r="1971">
      <c r="A1971" s="17"/>
    </row>
    <row r="1972">
      <c r="A1972" s="17"/>
    </row>
    <row r="1973">
      <c r="A1973" s="17"/>
    </row>
    <row r="1974">
      <c r="A1974" s="17"/>
    </row>
    <row r="1975">
      <c r="A1975" s="17"/>
    </row>
    <row r="1976">
      <c r="A1976" s="17"/>
    </row>
    <row r="1977">
      <c r="A1977" s="17"/>
    </row>
    <row r="1978">
      <c r="A1978" s="18"/>
    </row>
    <row r="1979">
      <c r="A1979" s="18"/>
    </row>
    <row r="1980">
      <c r="A1980" s="18"/>
    </row>
    <row r="1981">
      <c r="A1981" s="18"/>
    </row>
    <row r="1982">
      <c r="A1982" s="18"/>
    </row>
    <row r="1983">
      <c r="A1983" s="18"/>
    </row>
    <row r="1984">
      <c r="A1984" s="18"/>
    </row>
    <row r="1985">
      <c r="A1985" s="18"/>
    </row>
    <row r="1986">
      <c r="A1986" s="18"/>
    </row>
    <row r="1987">
      <c r="A1987" s="18"/>
      <c r="C1987" s="16"/>
    </row>
    <row r="1988">
      <c r="A1988" s="17"/>
    </row>
    <row r="1989">
      <c r="A1989" s="17"/>
    </row>
    <row r="1990">
      <c r="A1990" s="17"/>
    </row>
    <row r="1991">
      <c r="A1991" s="17"/>
    </row>
    <row r="1992">
      <c r="A1992" s="17"/>
    </row>
    <row r="1993">
      <c r="A1993" s="17"/>
    </row>
    <row r="1994">
      <c r="A1994" s="17"/>
    </row>
    <row r="1995">
      <c r="A1995" s="18"/>
    </row>
    <row r="1996">
      <c r="A1996" s="18"/>
    </row>
    <row r="1997">
      <c r="A1997" s="18"/>
    </row>
    <row r="1998">
      <c r="A1998" s="18"/>
    </row>
    <row r="1999">
      <c r="A1999" s="18"/>
    </row>
    <row r="2000">
      <c r="A2000" s="18"/>
    </row>
    <row r="2001">
      <c r="A2001" s="18"/>
    </row>
    <row r="2002">
      <c r="A2002" s="18"/>
    </row>
    <row r="2003">
      <c r="A2003" s="18"/>
    </row>
    <row r="2004">
      <c r="A2004" s="18"/>
      <c r="C2004" s="16"/>
    </row>
    <row r="2005">
      <c r="A2005" s="17"/>
    </row>
    <row r="2006">
      <c r="A2006" s="17"/>
    </row>
    <row r="2007">
      <c r="A2007" s="17"/>
    </row>
    <row r="2008">
      <c r="A2008" s="17"/>
    </row>
    <row r="2009">
      <c r="A2009" s="17"/>
    </row>
    <row r="2010">
      <c r="A2010" s="17"/>
    </row>
    <row r="2011">
      <c r="A2011" s="17"/>
    </row>
    <row r="2012">
      <c r="A2012" s="18"/>
    </row>
    <row r="2013">
      <c r="A2013" s="18"/>
    </row>
    <row r="2014">
      <c r="A2014" s="18"/>
    </row>
    <row r="2015">
      <c r="A2015" s="18"/>
    </row>
    <row r="2016">
      <c r="A2016" s="18"/>
    </row>
    <row r="2017">
      <c r="A2017" s="18"/>
    </row>
    <row r="2018">
      <c r="A2018" s="18"/>
    </row>
    <row r="2019">
      <c r="A2019" s="18"/>
    </row>
    <row r="2020">
      <c r="A2020" s="18"/>
    </row>
    <row r="2021">
      <c r="A2021" s="18"/>
      <c r="C2021" s="16"/>
    </row>
    <row r="2022">
      <c r="A2022" s="17"/>
    </row>
    <row r="2023">
      <c r="A2023" s="17"/>
    </row>
    <row r="2024">
      <c r="A2024" s="17"/>
    </row>
    <row r="2025">
      <c r="A2025" s="17"/>
    </row>
    <row r="2026">
      <c r="A2026" s="17"/>
    </row>
    <row r="2027">
      <c r="A2027" s="17"/>
    </row>
    <row r="2028">
      <c r="A2028" s="17"/>
    </row>
    <row r="2029">
      <c r="A2029" s="18"/>
    </row>
    <row r="2030">
      <c r="A2030" s="18"/>
    </row>
    <row r="2031">
      <c r="A2031" s="18"/>
    </row>
    <row r="2032">
      <c r="A2032" s="18"/>
    </row>
    <row r="2033">
      <c r="A2033" s="18"/>
    </row>
    <row r="2034">
      <c r="A2034" s="18"/>
    </row>
    <row r="2035">
      <c r="A2035" s="18"/>
    </row>
    <row r="2036">
      <c r="A2036" s="18"/>
    </row>
    <row r="2037">
      <c r="A2037" s="18"/>
    </row>
    <row r="2038">
      <c r="A2038" s="18"/>
      <c r="C2038" s="16"/>
    </row>
    <row r="2039">
      <c r="A2039" s="17"/>
    </row>
    <row r="2040">
      <c r="A2040" s="17"/>
    </row>
    <row r="2041">
      <c r="A2041" s="17"/>
    </row>
    <row r="2042">
      <c r="A2042" s="17"/>
    </row>
    <row r="2043">
      <c r="A2043" s="17"/>
    </row>
    <row r="2044">
      <c r="A2044" s="17"/>
    </row>
    <row r="2045">
      <c r="A2045" s="17"/>
    </row>
    <row r="2046">
      <c r="A2046" s="18"/>
    </row>
    <row r="2047">
      <c r="A2047" s="18"/>
    </row>
    <row r="2048">
      <c r="A2048" s="18"/>
    </row>
    <row r="2049">
      <c r="A2049" s="18"/>
    </row>
    <row r="2050">
      <c r="A2050" s="18"/>
    </row>
    <row r="2051">
      <c r="A2051" s="18"/>
    </row>
    <row r="2052">
      <c r="A2052" s="18"/>
    </row>
    <row r="2053">
      <c r="A2053" s="18"/>
    </row>
    <row r="2054">
      <c r="A2054" s="18"/>
    </row>
    <row r="2055">
      <c r="A2055" s="18"/>
      <c r="C2055" s="16"/>
    </row>
    <row r="2056">
      <c r="A2056" s="17"/>
    </row>
    <row r="2057">
      <c r="A2057" s="17"/>
    </row>
    <row r="2058">
      <c r="A2058" s="17"/>
    </row>
    <row r="2059">
      <c r="A2059" s="17"/>
    </row>
    <row r="2060">
      <c r="A2060" s="17"/>
    </row>
    <row r="2061">
      <c r="A2061" s="17"/>
    </row>
    <row r="2062">
      <c r="A2062" s="17"/>
    </row>
    <row r="2063">
      <c r="A2063" s="18"/>
    </row>
    <row r="2064">
      <c r="A2064" s="18"/>
    </row>
    <row r="2065">
      <c r="A2065" s="18"/>
    </row>
    <row r="2066">
      <c r="A2066" s="18"/>
    </row>
    <row r="2067">
      <c r="A2067" s="18"/>
    </row>
    <row r="2068">
      <c r="A2068" s="18"/>
    </row>
    <row r="2069">
      <c r="A2069" s="18"/>
    </row>
    <row r="2070">
      <c r="A2070" s="18"/>
    </row>
    <row r="2071">
      <c r="A2071" s="18"/>
    </row>
    <row r="2072">
      <c r="A2072" s="18"/>
      <c r="C2072" s="16"/>
    </row>
    <row r="2073">
      <c r="A2073" s="17"/>
    </row>
    <row r="2074">
      <c r="A2074" s="17"/>
    </row>
    <row r="2075">
      <c r="A2075" s="17"/>
    </row>
    <row r="2076">
      <c r="A2076" s="17"/>
    </row>
    <row r="2077">
      <c r="A2077" s="17"/>
    </row>
    <row r="2078">
      <c r="A2078" s="17"/>
    </row>
    <row r="2079">
      <c r="A2079" s="17"/>
    </row>
    <row r="2080">
      <c r="A2080" s="18"/>
    </row>
    <row r="2081">
      <c r="A2081" s="18"/>
    </row>
    <row r="2082">
      <c r="A2082" s="18"/>
    </row>
    <row r="2083">
      <c r="A2083" s="18"/>
    </row>
    <row r="2084">
      <c r="A2084" s="18"/>
    </row>
    <row r="2085">
      <c r="A2085" s="18"/>
    </row>
    <row r="2086">
      <c r="A2086" s="18"/>
    </row>
    <row r="2087">
      <c r="A2087" s="18"/>
    </row>
    <row r="2088">
      <c r="A2088" s="18"/>
    </row>
    <row r="2089">
      <c r="A2089" s="18"/>
      <c r="C2089" s="16"/>
    </row>
    <row r="2090">
      <c r="A2090" s="17"/>
    </row>
    <row r="2091">
      <c r="A2091" s="17"/>
    </row>
    <row r="2092">
      <c r="A2092" s="17"/>
    </row>
    <row r="2093">
      <c r="A2093" s="17"/>
    </row>
    <row r="2094">
      <c r="A2094" s="17"/>
    </row>
    <row r="2095">
      <c r="A2095" s="17"/>
    </row>
    <row r="2096">
      <c r="A2096" s="17"/>
    </row>
    <row r="2097">
      <c r="A2097" s="18"/>
    </row>
    <row r="2098">
      <c r="A2098" s="18"/>
    </row>
    <row r="2099">
      <c r="A2099" s="18"/>
    </row>
    <row r="2100">
      <c r="A2100" s="18"/>
    </row>
    <row r="2101">
      <c r="A2101" s="18"/>
    </row>
    <row r="2102">
      <c r="A2102" s="18"/>
    </row>
    <row r="2103">
      <c r="A2103" s="18"/>
    </row>
    <row r="2104">
      <c r="A2104" s="18"/>
    </row>
    <row r="2105">
      <c r="A2105" s="18"/>
    </row>
    <row r="2106">
      <c r="A2106" s="18"/>
      <c r="C2106" s="16"/>
    </row>
    <row r="2107">
      <c r="A2107" s="17"/>
    </row>
    <row r="2108">
      <c r="A2108" s="17"/>
    </row>
    <row r="2109">
      <c r="A2109" s="17"/>
    </row>
    <row r="2110">
      <c r="A2110" s="17"/>
    </row>
    <row r="2111">
      <c r="A2111" s="17"/>
    </row>
    <row r="2112">
      <c r="A2112" s="17"/>
    </row>
    <row r="2113">
      <c r="A2113" s="17"/>
    </row>
    <row r="2114">
      <c r="A2114" s="18"/>
    </row>
    <row r="2115">
      <c r="A2115" s="18"/>
    </row>
    <row r="2116">
      <c r="A2116" s="18"/>
    </row>
    <row r="2117">
      <c r="A2117" s="18"/>
    </row>
    <row r="2118">
      <c r="A2118" s="18"/>
    </row>
    <row r="2119">
      <c r="A2119" s="18"/>
    </row>
    <row r="2120">
      <c r="A2120" s="18"/>
    </row>
    <row r="2121">
      <c r="A2121" s="18"/>
    </row>
    <row r="2122">
      <c r="A2122" s="18"/>
    </row>
    <row r="2123">
      <c r="A2123" s="18"/>
      <c r="C2123" s="16"/>
    </row>
    <row r="2124">
      <c r="A2124" s="17"/>
    </row>
    <row r="2125">
      <c r="A2125" s="17"/>
    </row>
    <row r="2126">
      <c r="A2126" s="17"/>
    </row>
    <row r="2127">
      <c r="A2127" s="17"/>
    </row>
    <row r="2128">
      <c r="A2128" s="17"/>
    </row>
    <row r="2129">
      <c r="A2129" s="17"/>
    </row>
    <row r="2130">
      <c r="A2130" s="17"/>
    </row>
    <row r="2131">
      <c r="A2131" s="18"/>
    </row>
    <row r="2132">
      <c r="A2132" s="18"/>
    </row>
    <row r="2133">
      <c r="A2133" s="18"/>
    </row>
    <row r="2134">
      <c r="A2134" s="18"/>
    </row>
    <row r="2135">
      <c r="A2135" s="18"/>
    </row>
    <row r="2136">
      <c r="A2136" s="18"/>
    </row>
    <row r="2137">
      <c r="A2137" s="18"/>
    </row>
    <row r="2138">
      <c r="A2138" s="18"/>
    </row>
    <row r="2139">
      <c r="A2139" s="18"/>
    </row>
    <row r="2140">
      <c r="A2140" s="18"/>
      <c r="C2140" s="16"/>
    </row>
    <row r="2141">
      <c r="A2141" s="17"/>
    </row>
    <row r="2142">
      <c r="A2142" s="17"/>
    </row>
    <row r="2143">
      <c r="A2143" s="17"/>
    </row>
    <row r="2144">
      <c r="A2144" s="17"/>
    </row>
    <row r="2145">
      <c r="A2145" s="17"/>
    </row>
    <row r="2146">
      <c r="A2146" s="17"/>
    </row>
    <row r="2147">
      <c r="A2147" s="17"/>
    </row>
    <row r="2148">
      <c r="A2148" s="18"/>
    </row>
    <row r="2149">
      <c r="A2149" s="18"/>
    </row>
    <row r="2150">
      <c r="A2150" s="18"/>
    </row>
    <row r="2151">
      <c r="A2151" s="18"/>
    </row>
    <row r="2152">
      <c r="A2152" s="18"/>
    </row>
    <row r="2153">
      <c r="A2153" s="18"/>
    </row>
    <row r="2154">
      <c r="A2154" s="18"/>
    </row>
    <row r="2155">
      <c r="A2155" s="18"/>
    </row>
    <row r="2156">
      <c r="A2156" s="18"/>
    </row>
    <row r="2157">
      <c r="A2157" s="18"/>
      <c r="C2157" s="16"/>
    </row>
    <row r="2158">
      <c r="A2158" s="17"/>
    </row>
    <row r="2159">
      <c r="A2159" s="17"/>
    </row>
    <row r="2160">
      <c r="A2160" s="17"/>
    </row>
    <row r="2161">
      <c r="A2161" s="17"/>
    </row>
    <row r="2162">
      <c r="A2162" s="17"/>
    </row>
    <row r="2163">
      <c r="A2163" s="17"/>
    </row>
    <row r="2164">
      <c r="A2164" s="17"/>
    </row>
    <row r="2165">
      <c r="A2165" s="18"/>
    </row>
    <row r="2166">
      <c r="A2166" s="18"/>
    </row>
    <row r="2167">
      <c r="A2167" s="18"/>
    </row>
    <row r="2168">
      <c r="A2168" s="18"/>
    </row>
    <row r="2169">
      <c r="A2169" s="18"/>
    </row>
    <row r="2170">
      <c r="A2170" s="18"/>
    </row>
    <row r="2171">
      <c r="A2171" s="18"/>
    </row>
    <row r="2172">
      <c r="A2172" s="18"/>
    </row>
    <row r="2173">
      <c r="A2173" s="18"/>
    </row>
    <row r="2174">
      <c r="A2174" s="18"/>
      <c r="C2174" s="16"/>
    </row>
    <row r="2175">
      <c r="A2175" s="17"/>
    </row>
    <row r="2176">
      <c r="A2176" s="17"/>
    </row>
    <row r="2177">
      <c r="A2177" s="17"/>
    </row>
    <row r="2178">
      <c r="A2178" s="17"/>
    </row>
    <row r="2179">
      <c r="A2179" s="17"/>
    </row>
    <row r="2180">
      <c r="A2180" s="17"/>
    </row>
    <row r="2181">
      <c r="A2181" s="17"/>
    </row>
    <row r="2182">
      <c r="A2182" s="18"/>
    </row>
    <row r="2183">
      <c r="A2183" s="18"/>
    </row>
    <row r="2184">
      <c r="A2184" s="18"/>
    </row>
    <row r="2185">
      <c r="A2185" s="18"/>
    </row>
    <row r="2186">
      <c r="A2186" s="18"/>
    </row>
    <row r="2187">
      <c r="A2187" s="18"/>
    </row>
    <row r="2188">
      <c r="A2188" s="18"/>
    </row>
    <row r="2189">
      <c r="A2189" s="18"/>
    </row>
    <row r="2190">
      <c r="A2190" s="18"/>
    </row>
    <row r="2191">
      <c r="A2191" s="18"/>
      <c r="C2191" s="16"/>
    </row>
    <row r="2192">
      <c r="A2192" s="17"/>
    </row>
    <row r="2193">
      <c r="A2193" s="17"/>
    </row>
    <row r="2194">
      <c r="A2194" s="17"/>
    </row>
    <row r="2195">
      <c r="A2195" s="17"/>
    </row>
    <row r="2196">
      <c r="A2196" s="17"/>
    </row>
    <row r="2197">
      <c r="A2197" s="17"/>
    </row>
    <row r="2198">
      <c r="A2198" s="17"/>
    </row>
    <row r="2199">
      <c r="A2199" s="18"/>
    </row>
    <row r="2200">
      <c r="A2200" s="18"/>
    </row>
    <row r="2201">
      <c r="A2201" s="18"/>
    </row>
    <row r="2202">
      <c r="A2202" s="18"/>
    </row>
    <row r="2203">
      <c r="A2203" s="18"/>
    </row>
    <row r="2204">
      <c r="A2204" s="18"/>
    </row>
    <row r="2205">
      <c r="A2205" s="18"/>
    </row>
    <row r="2206">
      <c r="A2206" s="18"/>
    </row>
    <row r="2207">
      <c r="A2207" s="18"/>
    </row>
    <row r="2208">
      <c r="A2208" s="18"/>
      <c r="C2208" s="16"/>
    </row>
    <row r="2209">
      <c r="A2209" s="17"/>
    </row>
    <row r="2210">
      <c r="A2210" s="17"/>
    </row>
    <row r="2211">
      <c r="A2211" s="17"/>
    </row>
    <row r="2212">
      <c r="A2212" s="17"/>
    </row>
    <row r="2213">
      <c r="A2213" s="17"/>
    </row>
    <row r="2214">
      <c r="A2214" s="17"/>
    </row>
    <row r="2215">
      <c r="A2215" s="17"/>
    </row>
    <row r="2216">
      <c r="A2216" s="18"/>
    </row>
    <row r="2217">
      <c r="A2217" s="18"/>
    </row>
    <row r="2218">
      <c r="A2218" s="18"/>
    </row>
    <row r="2219">
      <c r="A2219" s="18"/>
    </row>
    <row r="2220">
      <c r="A2220" s="18"/>
    </row>
    <row r="2221">
      <c r="A2221" s="18"/>
    </row>
    <row r="2222">
      <c r="A2222" s="18"/>
    </row>
    <row r="2223">
      <c r="A2223" s="18"/>
    </row>
    <row r="2224">
      <c r="A2224" s="18"/>
    </row>
    <row r="2225">
      <c r="A2225" s="18"/>
      <c r="C2225" s="16"/>
    </row>
    <row r="2226">
      <c r="A2226" s="17"/>
    </row>
    <row r="2227">
      <c r="A2227" s="17"/>
    </row>
    <row r="2228">
      <c r="A2228" s="17"/>
    </row>
    <row r="2229">
      <c r="A2229" s="17"/>
    </row>
    <row r="2230">
      <c r="A2230" s="17"/>
    </row>
    <row r="2231">
      <c r="A2231" s="17"/>
    </row>
    <row r="2232">
      <c r="A2232" s="17"/>
    </row>
    <row r="2233">
      <c r="A2233" s="18"/>
    </row>
    <row r="2234">
      <c r="A2234" s="18"/>
    </row>
    <row r="2235">
      <c r="A2235" s="18"/>
    </row>
    <row r="2236">
      <c r="A2236" s="18"/>
    </row>
    <row r="2237">
      <c r="A2237" s="18"/>
    </row>
    <row r="2238">
      <c r="A2238" s="18"/>
    </row>
    <row r="2239">
      <c r="A2239" s="18"/>
    </row>
    <row r="2240">
      <c r="A2240" s="18"/>
    </row>
    <row r="2241">
      <c r="A2241" s="18"/>
    </row>
    <row r="2242">
      <c r="A2242" s="18"/>
      <c r="C2242" s="16"/>
    </row>
    <row r="2243">
      <c r="A2243" s="17"/>
    </row>
    <row r="2244">
      <c r="A2244" s="17"/>
    </row>
    <row r="2245">
      <c r="A2245" s="17"/>
    </row>
    <row r="2246">
      <c r="A2246" s="17"/>
    </row>
    <row r="2247">
      <c r="A2247" s="17"/>
    </row>
    <row r="2248">
      <c r="A2248" s="17"/>
    </row>
    <row r="2249">
      <c r="A2249" s="17"/>
    </row>
    <row r="2250">
      <c r="A2250" s="18"/>
    </row>
    <row r="2251">
      <c r="A2251" s="18"/>
    </row>
    <row r="2252">
      <c r="A2252" s="18"/>
    </row>
    <row r="2253">
      <c r="A2253" s="18"/>
    </row>
    <row r="2254">
      <c r="A2254" s="18"/>
    </row>
    <row r="2255">
      <c r="A2255" s="18"/>
    </row>
    <row r="2256">
      <c r="A2256" s="18"/>
    </row>
    <row r="2257">
      <c r="A2257" s="18"/>
    </row>
    <row r="2258">
      <c r="A2258" s="18"/>
    </row>
    <row r="2259">
      <c r="A2259" s="18"/>
      <c r="C2259" s="16"/>
    </row>
    <row r="2260">
      <c r="A2260" s="17"/>
    </row>
    <row r="2261">
      <c r="A2261" s="17"/>
    </row>
    <row r="2262">
      <c r="A2262" s="17"/>
    </row>
    <row r="2263">
      <c r="A2263" s="17"/>
    </row>
    <row r="2264">
      <c r="A2264" s="17"/>
    </row>
    <row r="2265">
      <c r="A2265" s="17"/>
    </row>
    <row r="2266">
      <c r="A2266" s="17"/>
    </row>
    <row r="2267">
      <c r="A2267" s="18"/>
    </row>
    <row r="2268">
      <c r="A2268" s="18"/>
    </row>
    <row r="2269">
      <c r="A2269" s="18"/>
    </row>
    <row r="2270">
      <c r="A2270" s="18"/>
    </row>
    <row r="2271">
      <c r="A2271" s="18"/>
    </row>
    <row r="2272">
      <c r="A2272" s="18"/>
    </row>
    <row r="2273">
      <c r="A2273" s="18"/>
    </row>
    <row r="2274">
      <c r="A2274" s="18"/>
    </row>
    <row r="2275">
      <c r="A2275" s="18"/>
    </row>
    <row r="2276">
      <c r="A2276" s="18"/>
      <c r="C2276" s="16"/>
    </row>
    <row r="2277">
      <c r="A2277" s="17"/>
    </row>
    <row r="2278">
      <c r="A2278" s="17"/>
    </row>
    <row r="2279">
      <c r="A2279" s="17"/>
    </row>
    <row r="2280">
      <c r="A2280" s="17"/>
    </row>
    <row r="2281">
      <c r="A2281" s="17"/>
    </row>
    <row r="2282">
      <c r="A2282" s="17"/>
    </row>
    <row r="2283">
      <c r="A2283" s="17"/>
    </row>
    <row r="2284">
      <c r="A2284" s="18"/>
    </row>
    <row r="2285">
      <c r="A2285" s="18"/>
    </row>
    <row r="2286">
      <c r="A2286" s="18"/>
    </row>
    <row r="2287">
      <c r="A2287" s="18"/>
    </row>
    <row r="2288">
      <c r="A2288" s="18"/>
    </row>
    <row r="2289">
      <c r="A2289" s="18"/>
    </row>
    <row r="2290">
      <c r="A2290" s="18"/>
    </row>
    <row r="2291">
      <c r="A2291" s="18"/>
    </row>
    <row r="2292">
      <c r="A2292" s="18"/>
    </row>
    <row r="2293">
      <c r="A2293" s="18"/>
      <c r="C2293" s="16"/>
    </row>
    <row r="2294">
      <c r="A2294" s="17"/>
    </row>
    <row r="2295">
      <c r="A2295" s="17"/>
    </row>
    <row r="2296">
      <c r="A2296" s="17"/>
    </row>
    <row r="2297">
      <c r="A2297" s="17"/>
    </row>
    <row r="2298">
      <c r="A2298" s="17"/>
    </row>
    <row r="2299">
      <c r="A2299" s="17"/>
    </row>
    <row r="2300">
      <c r="A2300" s="17"/>
    </row>
    <row r="2301">
      <c r="A2301" s="18"/>
    </row>
    <row r="2302">
      <c r="A2302" s="18"/>
    </row>
    <row r="2303">
      <c r="A2303" s="18"/>
    </row>
    <row r="2304">
      <c r="A2304" s="18"/>
    </row>
    <row r="2305">
      <c r="A2305" s="18"/>
    </row>
    <row r="2306">
      <c r="A2306" s="18"/>
    </row>
    <row r="2307">
      <c r="A2307" s="18"/>
    </row>
    <row r="2308">
      <c r="A2308" s="18"/>
    </row>
    <row r="2309">
      <c r="A2309" s="18"/>
    </row>
    <row r="2310">
      <c r="A2310" s="18"/>
      <c r="C2310" s="16"/>
    </row>
    <row r="2311">
      <c r="A2311" s="17"/>
    </row>
    <row r="2312">
      <c r="A2312" s="17"/>
    </row>
    <row r="2313">
      <c r="A2313" s="17"/>
    </row>
    <row r="2314">
      <c r="A2314" s="17"/>
    </row>
    <row r="2315">
      <c r="A2315" s="17"/>
    </row>
    <row r="2316">
      <c r="A2316" s="17"/>
    </row>
    <row r="2317">
      <c r="A2317" s="17"/>
    </row>
    <row r="2318">
      <c r="A2318" s="18"/>
    </row>
    <row r="2319">
      <c r="A2319" s="18"/>
    </row>
    <row r="2320">
      <c r="A2320" s="18"/>
    </row>
    <row r="2321">
      <c r="A2321" s="18"/>
    </row>
    <row r="2322">
      <c r="A2322" s="18"/>
    </row>
    <row r="2323">
      <c r="A2323" s="18"/>
    </row>
    <row r="2324">
      <c r="A2324" s="18"/>
    </row>
    <row r="2325">
      <c r="A2325" s="18"/>
    </row>
    <row r="2326">
      <c r="A2326" s="18"/>
    </row>
    <row r="2327">
      <c r="A2327" s="18"/>
      <c r="C2327" s="16"/>
    </row>
    <row r="2328">
      <c r="A2328" s="17"/>
    </row>
    <row r="2329">
      <c r="A2329" s="17"/>
    </row>
    <row r="2330">
      <c r="A2330" s="17"/>
    </row>
    <row r="2331">
      <c r="A2331" s="17"/>
    </row>
    <row r="2332">
      <c r="A2332" s="17"/>
    </row>
    <row r="2333">
      <c r="A2333" s="17"/>
    </row>
    <row r="2334">
      <c r="A2334" s="17"/>
    </row>
    <row r="2335">
      <c r="A2335" s="18"/>
    </row>
    <row r="2336">
      <c r="A2336" s="18"/>
    </row>
    <row r="2337">
      <c r="A2337" s="18"/>
    </row>
    <row r="2338">
      <c r="A2338" s="18"/>
    </row>
    <row r="2339">
      <c r="A2339" s="18"/>
    </row>
    <row r="2340">
      <c r="A2340" s="18"/>
    </row>
    <row r="2341">
      <c r="A2341" s="18"/>
    </row>
    <row r="2342">
      <c r="A2342" s="18"/>
    </row>
    <row r="2343">
      <c r="A2343" s="18"/>
    </row>
    <row r="2344">
      <c r="A2344" s="18"/>
      <c r="C2344" s="16"/>
    </row>
    <row r="2345">
      <c r="A2345" s="17"/>
    </row>
    <row r="2346">
      <c r="A2346" s="17"/>
    </row>
    <row r="2347">
      <c r="A2347" s="17"/>
    </row>
    <row r="2348">
      <c r="A2348" s="17"/>
    </row>
    <row r="2349">
      <c r="A2349" s="17"/>
    </row>
    <row r="2350">
      <c r="A2350" s="17"/>
    </row>
    <row r="2351">
      <c r="A2351" s="17"/>
    </row>
    <row r="2352">
      <c r="A2352" s="18"/>
    </row>
    <row r="2353">
      <c r="A2353" s="18"/>
    </row>
    <row r="2354">
      <c r="A2354" s="18"/>
    </row>
    <row r="2355">
      <c r="A2355" s="18"/>
    </row>
    <row r="2356">
      <c r="A2356" s="18"/>
    </row>
    <row r="2357">
      <c r="A2357" s="18"/>
    </row>
    <row r="2358">
      <c r="A2358" s="18"/>
    </row>
    <row r="2359">
      <c r="A2359" s="18"/>
    </row>
    <row r="2360">
      <c r="A2360" s="18"/>
    </row>
    <row r="2361">
      <c r="A2361" s="18"/>
      <c r="C2361" s="16"/>
    </row>
    <row r="2362">
      <c r="A2362" s="17"/>
    </row>
    <row r="2363">
      <c r="A2363" s="17"/>
    </row>
    <row r="2364">
      <c r="A2364" s="17"/>
    </row>
    <row r="2365">
      <c r="A2365" s="17"/>
    </row>
    <row r="2366">
      <c r="A2366" s="17"/>
    </row>
    <row r="2367">
      <c r="A2367" s="17"/>
    </row>
    <row r="2368">
      <c r="A2368" s="17"/>
    </row>
    <row r="2369">
      <c r="A2369" s="18"/>
    </row>
    <row r="2370">
      <c r="A2370" s="18"/>
    </row>
    <row r="2371">
      <c r="A2371" s="18"/>
    </row>
    <row r="2372">
      <c r="A2372" s="18"/>
    </row>
    <row r="2373">
      <c r="A2373" s="18"/>
    </row>
    <row r="2374">
      <c r="A2374" s="18"/>
    </row>
    <row r="2375">
      <c r="A2375" s="18"/>
    </row>
    <row r="2376">
      <c r="A2376" s="18"/>
    </row>
    <row r="2377">
      <c r="A2377" s="18"/>
    </row>
    <row r="2378">
      <c r="A2378" s="18"/>
      <c r="C2378" s="16"/>
    </row>
    <row r="2379">
      <c r="A2379" s="17"/>
    </row>
    <row r="2380">
      <c r="A2380" s="17"/>
    </row>
    <row r="2381">
      <c r="A2381" s="17"/>
    </row>
    <row r="2382">
      <c r="A2382" s="17"/>
    </row>
    <row r="2383">
      <c r="A2383" s="17"/>
    </row>
    <row r="2384">
      <c r="A2384" s="17"/>
    </row>
    <row r="2385">
      <c r="A2385" s="17"/>
    </row>
    <row r="2386">
      <c r="A2386" s="18"/>
    </row>
    <row r="2387">
      <c r="A2387" s="18"/>
    </row>
    <row r="2388">
      <c r="A2388" s="18"/>
    </row>
    <row r="2389">
      <c r="A2389" s="18"/>
    </row>
    <row r="2390">
      <c r="A2390" s="18"/>
    </row>
    <row r="2391">
      <c r="A2391" s="18"/>
    </row>
    <row r="2392">
      <c r="A2392" s="18"/>
    </row>
    <row r="2393">
      <c r="A2393" s="18"/>
    </row>
    <row r="2394">
      <c r="A2394" s="18"/>
    </row>
    <row r="2395">
      <c r="A2395" s="18"/>
      <c r="C2395" s="16"/>
    </row>
    <row r="2396">
      <c r="A2396" s="17"/>
    </row>
    <row r="2397">
      <c r="A2397" s="17"/>
    </row>
    <row r="2398">
      <c r="A2398" s="17"/>
    </row>
    <row r="2399">
      <c r="A2399" s="17"/>
    </row>
    <row r="2400">
      <c r="A2400" s="17"/>
    </row>
    <row r="2401">
      <c r="A2401" s="17"/>
    </row>
    <row r="2402">
      <c r="A2402" s="17"/>
    </row>
    <row r="2403">
      <c r="A2403" s="18"/>
    </row>
    <row r="2404">
      <c r="A2404" s="18"/>
    </row>
    <row r="2405">
      <c r="A2405" s="18"/>
    </row>
    <row r="2406">
      <c r="A2406" s="18"/>
    </row>
    <row r="2407">
      <c r="A2407" s="18"/>
    </row>
    <row r="2408">
      <c r="A2408" s="18"/>
    </row>
    <row r="2409">
      <c r="A2409" s="18"/>
    </row>
    <row r="2410">
      <c r="A2410" s="18"/>
    </row>
    <row r="2411">
      <c r="A2411" s="18"/>
    </row>
    <row r="2412">
      <c r="A2412" s="18"/>
      <c r="C2412" s="16"/>
    </row>
    <row r="2413">
      <c r="A2413" s="17"/>
    </row>
    <row r="2414">
      <c r="A2414" s="17"/>
    </row>
    <row r="2415">
      <c r="A2415" s="17"/>
    </row>
    <row r="2416">
      <c r="A2416" s="17"/>
    </row>
    <row r="2417">
      <c r="A2417" s="17"/>
    </row>
    <row r="2418">
      <c r="A2418" s="17"/>
    </row>
    <row r="2419">
      <c r="A2419" s="17"/>
    </row>
    <row r="2420">
      <c r="A2420" s="18"/>
    </row>
    <row r="2421">
      <c r="A2421" s="18"/>
    </row>
    <row r="2422">
      <c r="A2422" s="18"/>
    </row>
    <row r="2423">
      <c r="A2423" s="18"/>
    </row>
    <row r="2424">
      <c r="A2424" s="18"/>
    </row>
    <row r="2425">
      <c r="A2425" s="18"/>
    </row>
    <row r="2426">
      <c r="A2426" s="18"/>
    </row>
    <row r="2427">
      <c r="A2427" s="18"/>
    </row>
    <row r="2428">
      <c r="A2428" s="18"/>
    </row>
    <row r="2429">
      <c r="A2429" s="18"/>
      <c r="C2429" s="16"/>
    </row>
    <row r="2430">
      <c r="A2430" s="17"/>
    </row>
    <row r="2431">
      <c r="A2431" s="17"/>
    </row>
    <row r="2432">
      <c r="A2432" s="17"/>
    </row>
    <row r="2433">
      <c r="A2433" s="17"/>
    </row>
    <row r="2434">
      <c r="A2434" s="17"/>
    </row>
    <row r="2435">
      <c r="A2435" s="17"/>
    </row>
    <row r="2436">
      <c r="A2436" s="17"/>
    </row>
    <row r="2437">
      <c r="A2437" s="18"/>
    </row>
    <row r="2438">
      <c r="A2438" s="18"/>
    </row>
    <row r="2439">
      <c r="A2439" s="18"/>
    </row>
    <row r="2440">
      <c r="A2440" s="18"/>
    </row>
    <row r="2441">
      <c r="A2441" s="18"/>
    </row>
    <row r="2442">
      <c r="A2442" s="18"/>
    </row>
    <row r="2443">
      <c r="A2443" s="18"/>
    </row>
    <row r="2444">
      <c r="A2444" s="18"/>
    </row>
    <row r="2445">
      <c r="A2445" s="18"/>
    </row>
    <row r="2446">
      <c r="A2446" s="18"/>
      <c r="C2446" s="16"/>
    </row>
    <row r="2447">
      <c r="A2447" s="17"/>
    </row>
    <row r="2448">
      <c r="A2448" s="17"/>
    </row>
    <row r="2449">
      <c r="A2449" s="17"/>
    </row>
    <row r="2450">
      <c r="A2450" s="17"/>
    </row>
    <row r="2451">
      <c r="A2451" s="17"/>
    </row>
    <row r="2452">
      <c r="A2452" s="17"/>
    </row>
    <row r="2453">
      <c r="A2453" s="17"/>
    </row>
    <row r="2454">
      <c r="A2454" s="18"/>
    </row>
    <row r="2455">
      <c r="A2455" s="18"/>
    </row>
    <row r="2456">
      <c r="A2456" s="18"/>
    </row>
    <row r="2457">
      <c r="A2457" s="18"/>
    </row>
    <row r="2458">
      <c r="A2458" s="18"/>
    </row>
    <row r="2459">
      <c r="A2459" s="18"/>
    </row>
    <row r="2460">
      <c r="A2460" s="18"/>
    </row>
    <row r="2461">
      <c r="A2461" s="18"/>
    </row>
    <row r="2462">
      <c r="A2462" s="18"/>
    </row>
    <row r="2463">
      <c r="A2463" s="18"/>
      <c r="C2463" s="16"/>
    </row>
    <row r="2464">
      <c r="A2464" s="17"/>
    </row>
    <row r="2465">
      <c r="A2465" s="17"/>
    </row>
    <row r="2466">
      <c r="A2466" s="17"/>
    </row>
    <row r="2467">
      <c r="A2467" s="17"/>
    </row>
    <row r="2468">
      <c r="A2468" s="17"/>
    </row>
    <row r="2469">
      <c r="A2469" s="17"/>
    </row>
    <row r="2470">
      <c r="A2470" s="17"/>
    </row>
    <row r="2471">
      <c r="A2471" s="18"/>
    </row>
    <row r="2472">
      <c r="A2472" s="18"/>
    </row>
    <row r="2473">
      <c r="A2473" s="18"/>
    </row>
    <row r="2474">
      <c r="A2474" s="18"/>
    </row>
    <row r="2475">
      <c r="A2475" s="18"/>
    </row>
    <row r="2476">
      <c r="A2476" s="18"/>
    </row>
    <row r="2477">
      <c r="A2477" s="18"/>
    </row>
    <row r="2478">
      <c r="A2478" s="18"/>
    </row>
    <row r="2479">
      <c r="A2479" s="18"/>
    </row>
    <row r="2480">
      <c r="A2480" s="18"/>
      <c r="C2480" s="16"/>
    </row>
    <row r="2481">
      <c r="A2481" s="17"/>
    </row>
    <row r="2482">
      <c r="A2482" s="17"/>
    </row>
    <row r="2483">
      <c r="A2483" s="17"/>
    </row>
    <row r="2484">
      <c r="A2484" s="17"/>
    </row>
    <row r="2485">
      <c r="A2485" s="17"/>
    </row>
    <row r="2486">
      <c r="A2486" s="17"/>
    </row>
    <row r="2487">
      <c r="A2487" s="17"/>
    </row>
    <row r="2488">
      <c r="A2488" s="18"/>
    </row>
    <row r="2489">
      <c r="A2489" s="18"/>
    </row>
    <row r="2490">
      <c r="A2490" s="18"/>
    </row>
    <row r="2491">
      <c r="A2491" s="18"/>
    </row>
    <row r="2492">
      <c r="A2492" s="18"/>
    </row>
    <row r="2493">
      <c r="A2493" s="18"/>
    </row>
    <row r="2494">
      <c r="A2494" s="18"/>
    </row>
    <row r="2495">
      <c r="A2495" s="18"/>
    </row>
    <row r="2496">
      <c r="A2496" s="18"/>
    </row>
    <row r="2497">
      <c r="A2497" s="18"/>
      <c r="C2497" s="16"/>
    </row>
    <row r="2498">
      <c r="A2498" s="17"/>
    </row>
    <row r="2499">
      <c r="A2499" s="17"/>
    </row>
    <row r="2500">
      <c r="A2500" s="17"/>
    </row>
    <row r="2501">
      <c r="A2501" s="17"/>
    </row>
    <row r="2502">
      <c r="A2502" s="17"/>
    </row>
    <row r="2503">
      <c r="A2503" s="17"/>
    </row>
    <row r="2504">
      <c r="A2504" s="17"/>
    </row>
    <row r="2505">
      <c r="A2505" s="18"/>
    </row>
    <row r="2506">
      <c r="A2506" s="18"/>
    </row>
    <row r="2507">
      <c r="A2507" s="18"/>
    </row>
    <row r="2508">
      <c r="A2508" s="18"/>
    </row>
    <row r="2509">
      <c r="A2509" s="18"/>
    </row>
    <row r="2510">
      <c r="A2510" s="18"/>
    </row>
    <row r="2511">
      <c r="A2511" s="18"/>
    </row>
    <row r="2512">
      <c r="A2512" s="18"/>
    </row>
    <row r="2513">
      <c r="A2513" s="18"/>
    </row>
    <row r="2514">
      <c r="A2514" s="18"/>
      <c r="C2514" s="16"/>
    </row>
    <row r="2515">
      <c r="A2515" s="17"/>
    </row>
    <row r="2516">
      <c r="A2516" s="17"/>
    </row>
    <row r="2517">
      <c r="A2517" s="17"/>
    </row>
    <row r="2518">
      <c r="A2518" s="17"/>
    </row>
    <row r="2519">
      <c r="A2519" s="17"/>
    </row>
    <row r="2520">
      <c r="A2520" s="17"/>
    </row>
    <row r="2521">
      <c r="A2521" s="17"/>
    </row>
    <row r="2522">
      <c r="A2522" s="18"/>
    </row>
    <row r="2523">
      <c r="A2523" s="18"/>
    </row>
    <row r="2524">
      <c r="A2524" s="18"/>
    </row>
    <row r="2525">
      <c r="A2525" s="18"/>
    </row>
    <row r="2526">
      <c r="A2526" s="18"/>
    </row>
    <row r="2527">
      <c r="A2527" s="18"/>
    </row>
    <row r="2528">
      <c r="A2528" s="18"/>
    </row>
    <row r="2529">
      <c r="A2529" s="18"/>
    </row>
    <row r="2530">
      <c r="A2530" s="18"/>
    </row>
    <row r="2531">
      <c r="A2531" s="18"/>
      <c r="C2531" s="16"/>
    </row>
    <row r="2532">
      <c r="A2532" s="17"/>
    </row>
    <row r="2533">
      <c r="A2533" s="17"/>
    </row>
    <row r="2534">
      <c r="A2534" s="17"/>
    </row>
    <row r="2535">
      <c r="A2535" s="17"/>
    </row>
    <row r="2536">
      <c r="A2536" s="17"/>
    </row>
    <row r="2537">
      <c r="A2537" s="17"/>
    </row>
    <row r="2538">
      <c r="A2538" s="17"/>
    </row>
    <row r="2539">
      <c r="A2539" s="18"/>
    </row>
    <row r="2540">
      <c r="A2540" s="18"/>
    </row>
    <row r="2541">
      <c r="A2541" s="18"/>
    </row>
    <row r="2542">
      <c r="A2542" s="18"/>
    </row>
    <row r="2543">
      <c r="A2543" s="18"/>
    </row>
    <row r="2544">
      <c r="A2544" s="18"/>
    </row>
    <row r="2545">
      <c r="A2545" s="18"/>
    </row>
    <row r="2546">
      <c r="A2546" s="18"/>
    </row>
    <row r="2547">
      <c r="A2547" s="18"/>
    </row>
    <row r="2548">
      <c r="A2548" s="18"/>
      <c r="C2548" s="16"/>
    </row>
    <row r="2549">
      <c r="A2549" s="17"/>
    </row>
    <row r="2550">
      <c r="A2550" s="17"/>
    </row>
    <row r="2551">
      <c r="A2551" s="17"/>
    </row>
    <row r="2552">
      <c r="A2552" s="17"/>
    </row>
    <row r="2553">
      <c r="A2553" s="17"/>
    </row>
    <row r="2554">
      <c r="A2554" s="17"/>
    </row>
    <row r="2555">
      <c r="A2555" s="17"/>
    </row>
    <row r="2556">
      <c r="A2556" s="18"/>
    </row>
    <row r="2557">
      <c r="A2557" s="18"/>
    </row>
    <row r="2558">
      <c r="A2558" s="18"/>
    </row>
    <row r="2559">
      <c r="A2559" s="18"/>
    </row>
    <row r="2560">
      <c r="A2560" s="18"/>
    </row>
    <row r="2561">
      <c r="A2561" s="18"/>
    </row>
    <row r="2562">
      <c r="A2562" s="18"/>
    </row>
    <row r="2563">
      <c r="A2563" s="18"/>
    </row>
    <row r="2564">
      <c r="A2564" s="18"/>
    </row>
    <row r="2565">
      <c r="A2565" s="18"/>
      <c r="C2565" s="16"/>
    </row>
    <row r="2566">
      <c r="A2566" s="17"/>
    </row>
    <row r="2567">
      <c r="A2567" s="17"/>
    </row>
    <row r="2568">
      <c r="A2568" s="17"/>
    </row>
    <row r="2569">
      <c r="A2569" s="17"/>
    </row>
    <row r="2570">
      <c r="A2570" s="17"/>
    </row>
    <row r="2571">
      <c r="A2571" s="17"/>
    </row>
    <row r="2572">
      <c r="A2572" s="17"/>
    </row>
    <row r="2573">
      <c r="A2573" s="18"/>
    </row>
    <row r="2574">
      <c r="A2574" s="18"/>
    </row>
    <row r="2575">
      <c r="A2575" s="18"/>
    </row>
    <row r="2576">
      <c r="A2576" s="18"/>
    </row>
    <row r="2577">
      <c r="A2577" s="18"/>
    </row>
    <row r="2578">
      <c r="A2578" s="18"/>
    </row>
    <row r="2579">
      <c r="A2579" s="18"/>
    </row>
    <row r="2580">
      <c r="A2580" s="18"/>
    </row>
    <row r="2581">
      <c r="A2581" s="18"/>
    </row>
    <row r="2582">
      <c r="A2582" s="18"/>
      <c r="C2582" s="16"/>
    </row>
    <row r="2583">
      <c r="A2583" s="17"/>
    </row>
    <row r="2584">
      <c r="A2584" s="17"/>
    </row>
    <row r="2585">
      <c r="A2585" s="17"/>
    </row>
    <row r="2586">
      <c r="A2586" s="17"/>
    </row>
    <row r="2587">
      <c r="A2587" s="17"/>
    </row>
    <row r="2588">
      <c r="A2588" s="17"/>
    </row>
    <row r="2589">
      <c r="A2589" s="17"/>
    </row>
    <row r="2590">
      <c r="A2590" s="18"/>
    </row>
    <row r="2591">
      <c r="A2591" s="18"/>
    </row>
    <row r="2592">
      <c r="A2592" s="18"/>
    </row>
    <row r="2593">
      <c r="A2593" s="18"/>
    </row>
    <row r="2594">
      <c r="A2594" s="18"/>
    </row>
    <row r="2595">
      <c r="A2595" s="18"/>
    </row>
    <row r="2596">
      <c r="A2596" s="18"/>
    </row>
    <row r="2597">
      <c r="A2597" s="18"/>
    </row>
    <row r="2598">
      <c r="A2598" s="18"/>
    </row>
    <row r="2599">
      <c r="A2599" s="18"/>
      <c r="C2599" s="16"/>
    </row>
    <row r="2600">
      <c r="A2600" s="17"/>
    </row>
    <row r="2601">
      <c r="A2601" s="17"/>
    </row>
    <row r="2602">
      <c r="A2602" s="17"/>
    </row>
    <row r="2603">
      <c r="A2603" s="17"/>
    </row>
    <row r="2604">
      <c r="A2604" s="17"/>
    </row>
    <row r="2605">
      <c r="A2605" s="17"/>
    </row>
    <row r="2606">
      <c r="A2606" s="17"/>
    </row>
    <row r="2607">
      <c r="A2607" s="18"/>
    </row>
    <row r="2608">
      <c r="A2608" s="18"/>
    </row>
    <row r="2609">
      <c r="A2609" s="18"/>
    </row>
    <row r="2610">
      <c r="A2610" s="18"/>
    </row>
    <row r="2611">
      <c r="A2611" s="18"/>
    </row>
    <row r="2612">
      <c r="A2612" s="18"/>
    </row>
    <row r="2613">
      <c r="A2613" s="18"/>
    </row>
    <row r="2614">
      <c r="A2614" s="18"/>
    </row>
    <row r="2615">
      <c r="A2615" s="18"/>
    </row>
    <row r="2616">
      <c r="A2616" s="18"/>
      <c r="C2616" s="16"/>
    </row>
    <row r="2617">
      <c r="A2617" s="17"/>
    </row>
    <row r="2618">
      <c r="A2618" s="17"/>
    </row>
    <row r="2619">
      <c r="A2619" s="17"/>
    </row>
    <row r="2620">
      <c r="A2620" s="17"/>
    </row>
    <row r="2621">
      <c r="A2621" s="17"/>
    </row>
    <row r="2622">
      <c r="A2622" s="17"/>
    </row>
    <row r="2623">
      <c r="A2623" s="17"/>
    </row>
    <row r="2624">
      <c r="A2624" s="18"/>
    </row>
    <row r="2625">
      <c r="A2625" s="18"/>
    </row>
    <row r="2626">
      <c r="A2626" s="18"/>
    </row>
    <row r="2627">
      <c r="A2627" s="18"/>
    </row>
    <row r="2628">
      <c r="A2628" s="18"/>
    </row>
    <row r="2629">
      <c r="A2629" s="18"/>
    </row>
    <row r="2630">
      <c r="A2630" s="18"/>
    </row>
    <row r="2631">
      <c r="A2631" s="18"/>
    </row>
    <row r="2632">
      <c r="A2632" s="18"/>
    </row>
    <row r="2633">
      <c r="A2633" s="18"/>
      <c r="C2633" s="16"/>
    </row>
    <row r="2634">
      <c r="A2634" s="17"/>
    </row>
    <row r="2635">
      <c r="A2635" s="17"/>
    </row>
    <row r="2636">
      <c r="A2636" s="17"/>
    </row>
    <row r="2637">
      <c r="A2637" s="17"/>
    </row>
    <row r="2638">
      <c r="A2638" s="17"/>
    </row>
    <row r="2639">
      <c r="A2639" s="17"/>
    </row>
    <row r="2640">
      <c r="A2640" s="17"/>
    </row>
    <row r="2641">
      <c r="A2641" s="18"/>
    </row>
    <row r="2642">
      <c r="A2642" s="18"/>
    </row>
    <row r="2643">
      <c r="A2643" s="18"/>
    </row>
    <row r="2644">
      <c r="A2644" s="18"/>
    </row>
    <row r="2645">
      <c r="A2645" s="18"/>
    </row>
    <row r="2646">
      <c r="A2646" s="18"/>
    </row>
    <row r="2647">
      <c r="A2647" s="18"/>
    </row>
    <row r="2648">
      <c r="A2648" s="18"/>
    </row>
    <row r="2649">
      <c r="A2649" s="18"/>
    </row>
    <row r="2650">
      <c r="A2650" s="18"/>
      <c r="C2650" s="16"/>
    </row>
    <row r="2651">
      <c r="A2651" s="17"/>
    </row>
    <row r="2652">
      <c r="A2652" s="17"/>
    </row>
    <row r="2653">
      <c r="A2653" s="17"/>
    </row>
    <row r="2654">
      <c r="A2654" s="17"/>
    </row>
    <row r="2655">
      <c r="A2655" s="17"/>
    </row>
    <row r="2656">
      <c r="A2656" s="17"/>
    </row>
    <row r="2657">
      <c r="A2657" s="17"/>
    </row>
    <row r="2658">
      <c r="A2658" s="18"/>
    </row>
    <row r="2659">
      <c r="A2659" s="18"/>
    </row>
    <row r="2660">
      <c r="A2660" s="18"/>
    </row>
    <row r="2661">
      <c r="A2661" s="18"/>
    </row>
    <row r="2662">
      <c r="A2662" s="18"/>
    </row>
    <row r="2663">
      <c r="A2663" s="18"/>
    </row>
    <row r="2664">
      <c r="A2664" s="18"/>
    </row>
    <row r="2665">
      <c r="A2665" s="18"/>
    </row>
    <row r="2666">
      <c r="A2666" s="18"/>
    </row>
    <row r="2667">
      <c r="A2667" s="18"/>
      <c r="C2667" s="16"/>
    </row>
    <row r="2668">
      <c r="A2668" s="17"/>
    </row>
    <row r="2669">
      <c r="A2669" s="17"/>
    </row>
    <row r="2670">
      <c r="A2670" s="17"/>
    </row>
    <row r="2671">
      <c r="A2671" s="17"/>
    </row>
    <row r="2672">
      <c r="A2672" s="17"/>
    </row>
    <row r="2673">
      <c r="A2673" s="17"/>
    </row>
    <row r="2674">
      <c r="A2674" s="17"/>
    </row>
    <row r="2675">
      <c r="A2675" s="18"/>
    </row>
    <row r="2676">
      <c r="A2676" s="18"/>
    </row>
    <row r="2677">
      <c r="A2677" s="18"/>
    </row>
    <row r="2678">
      <c r="A2678" s="18"/>
    </row>
    <row r="2679">
      <c r="A2679" s="18"/>
    </row>
    <row r="2680">
      <c r="A2680" s="18"/>
    </row>
    <row r="2681">
      <c r="A2681" s="18"/>
    </row>
    <row r="2682">
      <c r="A2682" s="18"/>
    </row>
    <row r="2683">
      <c r="A2683" s="18"/>
    </row>
    <row r="2684">
      <c r="A2684" s="18"/>
      <c r="C2684" s="16"/>
    </row>
    <row r="2685">
      <c r="A2685" s="17"/>
    </row>
    <row r="2686">
      <c r="A2686" s="17"/>
    </row>
    <row r="2687">
      <c r="A2687" s="17"/>
    </row>
    <row r="2688">
      <c r="A2688" s="17"/>
    </row>
    <row r="2689">
      <c r="A2689" s="17"/>
    </row>
    <row r="2690">
      <c r="A2690" s="17"/>
    </row>
    <row r="2691">
      <c r="A2691" s="17"/>
    </row>
    <row r="2692">
      <c r="A2692" s="18"/>
    </row>
    <row r="2693">
      <c r="A2693" s="18"/>
    </row>
    <row r="2694">
      <c r="A2694" s="18"/>
    </row>
    <row r="2695">
      <c r="A2695" s="18"/>
    </row>
    <row r="2696">
      <c r="A2696" s="18"/>
    </row>
    <row r="2697">
      <c r="A2697" s="18"/>
    </row>
    <row r="2698">
      <c r="A2698" s="18"/>
    </row>
    <row r="2699">
      <c r="A2699" s="18"/>
    </row>
    <row r="2700">
      <c r="A2700" s="18"/>
    </row>
    <row r="2701">
      <c r="A2701" s="18"/>
      <c r="C2701" s="16"/>
    </row>
    <row r="2702">
      <c r="A2702" s="17"/>
    </row>
    <row r="2703">
      <c r="A2703" s="17"/>
    </row>
    <row r="2704">
      <c r="A2704" s="17"/>
    </row>
    <row r="2705">
      <c r="A2705" s="17"/>
    </row>
    <row r="2706">
      <c r="A2706" s="17"/>
    </row>
    <row r="2707">
      <c r="A2707" s="17"/>
    </row>
    <row r="2708">
      <c r="A2708" s="17"/>
    </row>
    <row r="2709">
      <c r="A2709" s="18"/>
    </row>
    <row r="2710">
      <c r="A2710" s="18"/>
    </row>
    <row r="2711">
      <c r="A2711" s="18"/>
    </row>
    <row r="2712">
      <c r="A2712" s="18"/>
    </row>
    <row r="2713">
      <c r="A2713" s="18"/>
    </row>
    <row r="2714">
      <c r="A2714" s="18"/>
    </row>
    <row r="2715">
      <c r="A2715" s="18"/>
    </row>
    <row r="2716">
      <c r="A2716" s="18"/>
    </row>
    <row r="2717">
      <c r="A2717" s="18"/>
    </row>
    <row r="2718">
      <c r="A2718" s="18"/>
      <c r="C2718" s="16"/>
    </row>
    <row r="2719">
      <c r="A2719" s="17"/>
    </row>
    <row r="2720">
      <c r="A2720" s="17"/>
    </row>
    <row r="2721">
      <c r="A2721" s="17"/>
    </row>
    <row r="2722">
      <c r="A2722" s="17"/>
    </row>
    <row r="2723">
      <c r="A2723" s="17"/>
    </row>
    <row r="2724">
      <c r="A2724" s="17"/>
    </row>
    <row r="2725">
      <c r="A2725" s="17"/>
    </row>
    <row r="2726">
      <c r="A2726" s="18"/>
    </row>
    <row r="2727">
      <c r="A2727" s="18"/>
    </row>
    <row r="2728">
      <c r="A2728" s="18"/>
    </row>
    <row r="2729">
      <c r="A2729" s="18"/>
    </row>
    <row r="2730">
      <c r="A2730" s="18"/>
    </row>
    <row r="2731">
      <c r="A2731" s="18"/>
    </row>
    <row r="2732">
      <c r="A2732" s="18"/>
    </row>
    <row r="2733">
      <c r="A2733" s="18"/>
    </row>
    <row r="2734">
      <c r="A2734" s="18"/>
    </row>
    <row r="2735">
      <c r="A2735" s="18"/>
      <c r="C2735" s="16"/>
    </row>
    <row r="2736">
      <c r="A2736" s="17"/>
    </row>
    <row r="2737">
      <c r="A2737" s="17"/>
    </row>
    <row r="2738">
      <c r="A2738" s="17"/>
    </row>
    <row r="2739">
      <c r="A2739" s="17"/>
    </row>
    <row r="2740">
      <c r="A2740" s="17"/>
    </row>
    <row r="2741">
      <c r="A2741" s="17"/>
    </row>
    <row r="2742">
      <c r="A2742" s="17"/>
    </row>
    <row r="2743">
      <c r="A2743" s="18"/>
    </row>
    <row r="2744">
      <c r="A2744" s="18"/>
    </row>
    <row r="2745">
      <c r="A2745" s="18"/>
    </row>
    <row r="2746">
      <c r="A2746" s="18"/>
    </row>
    <row r="2747">
      <c r="A2747" s="18"/>
    </row>
    <row r="2748">
      <c r="A2748" s="18"/>
    </row>
    <row r="2749">
      <c r="A2749" s="18"/>
    </row>
    <row r="2750">
      <c r="A2750" s="18"/>
    </row>
    <row r="2751">
      <c r="A2751" s="18"/>
    </row>
    <row r="2752">
      <c r="A2752" s="18"/>
      <c r="C2752" s="16"/>
    </row>
    <row r="2753">
      <c r="A2753" s="17"/>
    </row>
    <row r="2754">
      <c r="A2754" s="17"/>
    </row>
    <row r="2755">
      <c r="A2755" s="17"/>
    </row>
    <row r="2756">
      <c r="A2756" s="17"/>
    </row>
    <row r="2757">
      <c r="A2757" s="17"/>
    </row>
    <row r="2758">
      <c r="A2758" s="17"/>
    </row>
    <row r="2759">
      <c r="A2759" s="17"/>
    </row>
    <row r="2760">
      <c r="A2760" s="18"/>
    </row>
    <row r="2761">
      <c r="A2761" s="18"/>
    </row>
    <row r="2762">
      <c r="A2762" s="18"/>
    </row>
    <row r="2763">
      <c r="A2763" s="18"/>
    </row>
    <row r="2764">
      <c r="A2764" s="18"/>
    </row>
    <row r="2765">
      <c r="A2765" s="18"/>
    </row>
    <row r="2766">
      <c r="A2766" s="18"/>
    </row>
    <row r="2767">
      <c r="A2767" s="18"/>
    </row>
    <row r="2768">
      <c r="A2768" s="18"/>
    </row>
    <row r="2769">
      <c r="A2769" s="18"/>
      <c r="C2769" s="16"/>
    </row>
    <row r="2770">
      <c r="A2770" s="17"/>
    </row>
    <row r="2771">
      <c r="A2771" s="17"/>
    </row>
    <row r="2772">
      <c r="A2772" s="17"/>
    </row>
    <row r="2773">
      <c r="A2773" s="17"/>
    </row>
    <row r="2774">
      <c r="A2774" s="17"/>
    </row>
    <row r="2775">
      <c r="A2775" s="17"/>
    </row>
    <row r="2776">
      <c r="A2776" s="17"/>
    </row>
    <row r="2777">
      <c r="A2777" s="18"/>
    </row>
    <row r="2778">
      <c r="A2778" s="18"/>
    </row>
    <row r="2779">
      <c r="A2779" s="18"/>
    </row>
    <row r="2780">
      <c r="A2780" s="18"/>
    </row>
    <row r="2781">
      <c r="A2781" s="18"/>
    </row>
    <row r="2782">
      <c r="A2782" s="18"/>
    </row>
    <row r="2783">
      <c r="A2783" s="18"/>
    </row>
    <row r="2784">
      <c r="A2784" s="18"/>
    </row>
    <row r="2785">
      <c r="A2785" s="18"/>
    </row>
    <row r="2786">
      <c r="A2786" s="18"/>
      <c r="C2786" s="16"/>
    </row>
    <row r="2787">
      <c r="A2787" s="17"/>
    </row>
    <row r="2788">
      <c r="A2788" s="17"/>
    </row>
    <row r="2789">
      <c r="A2789" s="17"/>
    </row>
    <row r="2790">
      <c r="A2790" s="17"/>
    </row>
    <row r="2791">
      <c r="A2791" s="17"/>
    </row>
    <row r="2792">
      <c r="A2792" s="17"/>
    </row>
    <row r="2793">
      <c r="A2793" s="17"/>
    </row>
    <row r="2794">
      <c r="A2794" s="18"/>
    </row>
    <row r="2795">
      <c r="A2795" s="18"/>
    </row>
    <row r="2796">
      <c r="A2796" s="18"/>
    </row>
    <row r="2797">
      <c r="A2797" s="18"/>
    </row>
    <row r="2798">
      <c r="A2798" s="18"/>
    </row>
    <row r="2799">
      <c r="A2799" s="18"/>
    </row>
    <row r="2800">
      <c r="A2800" s="18"/>
    </row>
    <row r="2801">
      <c r="A2801" s="18"/>
    </row>
    <row r="2802">
      <c r="A2802" s="18"/>
    </row>
    <row r="2803">
      <c r="A2803" s="18"/>
      <c r="C2803" s="16"/>
    </row>
    <row r="2804">
      <c r="A2804" s="17"/>
    </row>
    <row r="2805">
      <c r="A2805" s="17"/>
    </row>
    <row r="2806">
      <c r="A2806" s="17"/>
    </row>
    <row r="2807">
      <c r="A2807" s="17"/>
    </row>
    <row r="2808">
      <c r="A2808" s="17"/>
    </row>
    <row r="2809">
      <c r="A2809" s="17"/>
    </row>
    <row r="2810">
      <c r="A2810" s="17"/>
    </row>
    <row r="2811">
      <c r="A2811" s="18"/>
    </row>
    <row r="2812">
      <c r="A2812" s="18"/>
    </row>
    <row r="2813">
      <c r="A2813" s="18"/>
    </row>
    <row r="2814">
      <c r="A2814" s="18"/>
    </row>
    <row r="2815">
      <c r="A2815" s="18"/>
    </row>
    <row r="2816">
      <c r="A2816" s="18"/>
    </row>
    <row r="2817">
      <c r="A2817" s="18"/>
    </row>
    <row r="2818">
      <c r="A2818" s="18"/>
    </row>
    <row r="2819">
      <c r="A2819" s="18"/>
    </row>
    <row r="2820">
      <c r="A2820" s="18"/>
      <c r="C2820" s="16"/>
    </row>
    <row r="2821">
      <c r="A2821" s="17"/>
    </row>
    <row r="2822">
      <c r="A2822" s="17"/>
    </row>
    <row r="2823">
      <c r="A2823" s="17"/>
    </row>
    <row r="2824">
      <c r="A2824" s="17"/>
    </row>
    <row r="2825">
      <c r="A2825" s="17"/>
    </row>
    <row r="2826">
      <c r="A2826" s="17"/>
    </row>
    <row r="2827">
      <c r="A2827" s="17"/>
    </row>
    <row r="2828">
      <c r="A2828" s="18"/>
    </row>
    <row r="2829">
      <c r="A2829" s="18"/>
    </row>
    <row r="2830">
      <c r="A2830" s="18"/>
    </row>
    <row r="2831">
      <c r="A2831" s="18"/>
    </row>
    <row r="2832">
      <c r="A2832" s="18"/>
    </row>
    <row r="2833">
      <c r="A2833" s="18"/>
    </row>
    <row r="2834">
      <c r="A2834" s="18"/>
    </row>
    <row r="2835">
      <c r="A2835" s="18"/>
    </row>
    <row r="2836">
      <c r="A2836" s="18"/>
    </row>
    <row r="2837">
      <c r="A2837" s="18"/>
      <c r="C2837" s="16"/>
    </row>
    <row r="2838">
      <c r="A2838" s="17"/>
    </row>
    <row r="2839">
      <c r="A2839" s="17"/>
    </row>
    <row r="2840">
      <c r="A2840" s="17"/>
    </row>
    <row r="2841">
      <c r="A2841" s="17"/>
    </row>
    <row r="2842">
      <c r="A2842" s="17"/>
    </row>
    <row r="2843">
      <c r="A2843" s="17"/>
    </row>
    <row r="2844">
      <c r="A2844" s="17"/>
    </row>
    <row r="2845">
      <c r="A2845" s="18"/>
    </row>
    <row r="2846">
      <c r="A2846" s="18"/>
    </row>
    <row r="2847">
      <c r="A2847" s="18"/>
    </row>
    <row r="2848">
      <c r="A2848" s="18"/>
    </row>
    <row r="2849">
      <c r="A2849" s="18"/>
    </row>
    <row r="2850">
      <c r="A2850" s="18"/>
    </row>
    <row r="2851">
      <c r="A2851" s="18"/>
    </row>
    <row r="2852">
      <c r="A2852" s="18"/>
    </row>
    <row r="2853">
      <c r="A2853" s="18"/>
    </row>
    <row r="2854">
      <c r="A2854" s="18"/>
      <c r="C2854" s="16"/>
    </row>
    <row r="2855">
      <c r="A2855" s="17"/>
    </row>
    <row r="2856">
      <c r="A2856" s="17"/>
    </row>
    <row r="2857">
      <c r="A2857" s="17"/>
    </row>
    <row r="2858">
      <c r="A2858" s="17"/>
    </row>
    <row r="2859">
      <c r="A2859" s="17"/>
    </row>
    <row r="2860">
      <c r="A2860" s="17"/>
    </row>
    <row r="2861">
      <c r="A2861" s="17"/>
    </row>
    <row r="2862">
      <c r="A2862" s="18"/>
    </row>
    <row r="2863">
      <c r="A2863" s="18"/>
    </row>
    <row r="2864">
      <c r="A2864" s="18"/>
    </row>
    <row r="2865">
      <c r="A2865" s="18"/>
    </row>
    <row r="2866">
      <c r="A2866" s="18"/>
    </row>
    <row r="2867">
      <c r="A2867" s="18"/>
    </row>
    <row r="2868">
      <c r="A2868" s="18"/>
    </row>
    <row r="2869">
      <c r="A2869" s="18"/>
    </row>
    <row r="2870">
      <c r="A2870" s="18"/>
    </row>
    <row r="2871">
      <c r="A2871" s="18"/>
      <c r="C2871" s="16"/>
    </row>
    <row r="2872">
      <c r="A2872" s="17"/>
    </row>
    <row r="2873">
      <c r="A2873" s="17"/>
    </row>
    <row r="2874">
      <c r="A2874" s="17"/>
    </row>
    <row r="2875">
      <c r="A2875" s="17"/>
    </row>
    <row r="2876">
      <c r="A2876" s="17"/>
    </row>
    <row r="2877">
      <c r="A2877" s="17"/>
    </row>
    <row r="2878">
      <c r="A2878" s="17"/>
    </row>
    <row r="2879">
      <c r="A2879" s="18"/>
    </row>
    <row r="2880">
      <c r="A2880" s="18"/>
    </row>
    <row r="2881">
      <c r="A2881" s="18"/>
    </row>
    <row r="2882">
      <c r="A2882" s="18"/>
    </row>
    <row r="2883">
      <c r="A2883" s="18"/>
    </row>
    <row r="2884">
      <c r="A2884" s="18"/>
    </row>
    <row r="2885">
      <c r="A2885" s="18"/>
    </row>
    <row r="2886">
      <c r="A2886" s="18"/>
    </row>
    <row r="2887">
      <c r="A2887" s="18"/>
    </row>
    <row r="2888">
      <c r="A2888" s="18"/>
      <c r="C2888" s="16"/>
    </row>
    <row r="2889">
      <c r="A2889" s="17"/>
    </row>
    <row r="2890">
      <c r="A2890" s="17"/>
    </row>
    <row r="2891">
      <c r="A2891" s="17"/>
    </row>
    <row r="2892">
      <c r="A2892" s="17"/>
    </row>
    <row r="2893">
      <c r="A2893" s="17"/>
    </row>
    <row r="2894">
      <c r="A2894" s="17"/>
    </row>
    <row r="2895">
      <c r="A2895" s="17"/>
    </row>
    <row r="2896">
      <c r="A2896" s="18"/>
    </row>
    <row r="2897">
      <c r="A2897" s="18"/>
    </row>
    <row r="2898">
      <c r="A2898" s="18"/>
    </row>
    <row r="2899">
      <c r="A2899" s="18"/>
    </row>
    <row r="2900">
      <c r="A2900" s="18"/>
    </row>
    <row r="2901">
      <c r="A2901" s="18"/>
    </row>
    <row r="2902">
      <c r="A2902" s="18"/>
    </row>
    <row r="2903">
      <c r="A2903" s="18"/>
    </row>
    <row r="2904">
      <c r="A2904" s="18"/>
    </row>
    <row r="2905">
      <c r="A2905" s="18"/>
      <c r="C2905" s="16"/>
    </row>
    <row r="2906">
      <c r="A2906" s="17"/>
    </row>
    <row r="2907">
      <c r="A2907" s="17"/>
    </row>
    <row r="2908">
      <c r="A2908" s="17"/>
    </row>
    <row r="2909">
      <c r="A2909" s="17"/>
    </row>
    <row r="2910">
      <c r="A2910" s="17"/>
    </row>
    <row r="2911">
      <c r="A2911" s="17"/>
    </row>
    <row r="2912">
      <c r="A2912" s="17"/>
    </row>
    <row r="2913">
      <c r="A2913" s="18"/>
    </row>
    <row r="2914">
      <c r="A2914" s="18"/>
    </row>
    <row r="2915">
      <c r="A2915" s="18"/>
    </row>
    <row r="2916">
      <c r="A2916" s="18"/>
    </row>
    <row r="2917">
      <c r="A2917" s="18"/>
    </row>
    <row r="2918">
      <c r="A2918" s="18"/>
    </row>
    <row r="2919">
      <c r="A2919" s="18"/>
    </row>
    <row r="2920">
      <c r="A2920" s="18"/>
    </row>
    <row r="2921">
      <c r="A2921" s="18"/>
    </row>
    <row r="2922">
      <c r="A2922" s="18"/>
      <c r="C2922" s="16"/>
    </row>
    <row r="2923">
      <c r="A2923" s="17"/>
    </row>
    <row r="2924">
      <c r="A2924" s="17"/>
    </row>
    <row r="2925">
      <c r="A2925" s="17"/>
    </row>
    <row r="2926">
      <c r="A2926" s="17"/>
    </row>
    <row r="2927">
      <c r="A2927" s="17"/>
    </row>
    <row r="2928">
      <c r="A2928" s="17"/>
    </row>
    <row r="2929">
      <c r="A2929" s="17"/>
    </row>
    <row r="2930">
      <c r="A2930" s="18"/>
    </row>
    <row r="2931">
      <c r="A2931" s="18"/>
    </row>
    <row r="2932">
      <c r="A2932" s="18"/>
    </row>
    <row r="2933">
      <c r="A2933" s="18"/>
    </row>
    <row r="2934">
      <c r="A2934" s="18"/>
    </row>
    <row r="2935">
      <c r="A2935" s="18"/>
    </row>
    <row r="2936">
      <c r="A2936" s="18"/>
    </row>
    <row r="2937">
      <c r="A2937" s="18"/>
    </row>
    <row r="2938">
      <c r="A2938" s="18"/>
    </row>
    <row r="2939">
      <c r="A2939" s="18"/>
      <c r="C2939" s="16"/>
    </row>
    <row r="2940">
      <c r="A2940" s="17"/>
    </row>
    <row r="2941">
      <c r="A2941" s="17"/>
    </row>
    <row r="2942">
      <c r="A2942" s="17"/>
    </row>
    <row r="2943">
      <c r="A2943" s="17"/>
    </row>
    <row r="2944">
      <c r="A2944" s="17"/>
    </row>
    <row r="2945">
      <c r="A2945" s="17"/>
    </row>
    <row r="2946">
      <c r="A2946" s="17"/>
    </row>
    <row r="2947">
      <c r="A2947" s="18"/>
    </row>
    <row r="2948">
      <c r="A2948" s="18"/>
    </row>
    <row r="2949">
      <c r="A2949" s="18"/>
    </row>
    <row r="2950">
      <c r="A2950" s="18"/>
    </row>
    <row r="2951">
      <c r="A2951" s="18"/>
    </row>
    <row r="2952">
      <c r="A2952" s="18"/>
    </row>
    <row r="2953">
      <c r="A2953" s="18"/>
    </row>
    <row r="2954">
      <c r="A2954" s="18"/>
    </row>
    <row r="2955">
      <c r="A2955" s="18"/>
    </row>
    <row r="2956">
      <c r="A2956" s="18"/>
      <c r="C2956" s="16"/>
    </row>
    <row r="2957">
      <c r="A2957" s="17"/>
    </row>
    <row r="2958">
      <c r="A2958" s="17"/>
    </row>
    <row r="2959">
      <c r="A2959" s="17"/>
    </row>
    <row r="2960">
      <c r="A2960" s="17"/>
    </row>
    <row r="2961">
      <c r="A2961" s="17"/>
    </row>
    <row r="2962">
      <c r="A2962" s="17"/>
    </row>
    <row r="2963">
      <c r="A2963" s="17"/>
    </row>
    <row r="2964">
      <c r="A2964" s="18"/>
    </row>
    <row r="2965">
      <c r="A2965" s="18"/>
    </row>
    <row r="2966">
      <c r="A2966" s="18"/>
    </row>
    <row r="2967">
      <c r="A2967" s="18"/>
    </row>
    <row r="2968">
      <c r="A2968" s="18"/>
    </row>
    <row r="2969">
      <c r="A2969" s="18"/>
    </row>
    <row r="2970">
      <c r="A2970" s="18"/>
    </row>
    <row r="2971">
      <c r="A2971" s="18"/>
    </row>
    <row r="2972">
      <c r="A2972" s="18"/>
    </row>
    <row r="2973">
      <c r="A2973" s="18"/>
      <c r="C2973" s="16"/>
    </row>
    <row r="2974">
      <c r="A2974" s="17"/>
    </row>
    <row r="2975">
      <c r="A2975" s="17"/>
    </row>
    <row r="2976">
      <c r="A2976" s="17"/>
    </row>
    <row r="2977">
      <c r="A2977" s="17"/>
    </row>
    <row r="2978">
      <c r="A2978" s="17"/>
    </row>
    <row r="2979">
      <c r="A2979" s="17"/>
    </row>
    <row r="2980">
      <c r="A2980" s="17"/>
    </row>
    <row r="2981">
      <c r="A2981" s="18"/>
    </row>
    <row r="2982">
      <c r="A2982" s="18"/>
    </row>
    <row r="2983">
      <c r="A2983" s="18"/>
    </row>
    <row r="2984">
      <c r="A2984" s="18"/>
    </row>
    <row r="2985">
      <c r="A2985" s="18"/>
    </row>
    <row r="2986">
      <c r="A2986" s="18"/>
    </row>
    <row r="2987">
      <c r="A2987" s="18"/>
    </row>
    <row r="2988">
      <c r="A2988" s="18"/>
    </row>
    <row r="2989">
      <c r="A2989" s="18"/>
    </row>
    <row r="2990">
      <c r="A2990" s="18"/>
      <c r="C2990" s="16"/>
    </row>
    <row r="2991">
      <c r="A2991" s="17"/>
    </row>
    <row r="2992">
      <c r="A2992" s="17"/>
    </row>
    <row r="2993">
      <c r="A2993" s="17"/>
    </row>
    <row r="2994">
      <c r="A2994" s="17"/>
    </row>
    <row r="2995">
      <c r="A2995" s="17"/>
    </row>
    <row r="2996">
      <c r="A2996" s="17"/>
    </row>
    <row r="2997">
      <c r="A2997" s="17"/>
    </row>
    <row r="2998">
      <c r="A2998" s="18"/>
    </row>
    <row r="2999">
      <c r="A2999" s="18"/>
    </row>
    <row r="3000">
      <c r="A3000" s="18"/>
    </row>
    <row r="3001">
      <c r="A3001" s="18"/>
    </row>
    <row r="3002">
      <c r="A3002" s="18"/>
    </row>
    <row r="3003">
      <c r="A3003" s="18"/>
    </row>
    <row r="3004">
      <c r="A3004" s="18"/>
    </row>
    <row r="3005">
      <c r="A3005" s="18"/>
    </row>
    <row r="3006">
      <c r="A3006" s="18"/>
    </row>
    <row r="3007">
      <c r="A3007" s="18"/>
      <c r="C3007" s="16"/>
    </row>
    <row r="3008">
      <c r="A3008" s="17"/>
    </row>
    <row r="3009">
      <c r="A3009" s="17"/>
    </row>
    <row r="3010">
      <c r="A3010" s="17"/>
    </row>
    <row r="3011">
      <c r="A3011" s="17"/>
    </row>
    <row r="3012">
      <c r="A3012" s="17"/>
    </row>
    <row r="3013">
      <c r="A3013" s="17"/>
    </row>
    <row r="3014">
      <c r="A3014" s="17"/>
    </row>
    <row r="3015">
      <c r="A3015" s="18"/>
    </row>
    <row r="3016">
      <c r="A3016" s="18"/>
    </row>
    <row r="3017">
      <c r="A3017" s="18"/>
    </row>
    <row r="3018">
      <c r="A3018" s="18"/>
    </row>
    <row r="3019">
      <c r="A3019" s="18"/>
    </row>
    <row r="3020">
      <c r="A3020" s="18"/>
    </row>
    <row r="3021">
      <c r="A3021" s="18"/>
    </row>
    <row r="3022">
      <c r="A3022" s="18"/>
    </row>
    <row r="3023">
      <c r="A3023" s="18"/>
    </row>
    <row r="3024">
      <c r="A3024" s="18"/>
      <c r="C3024" s="16"/>
    </row>
    <row r="3025">
      <c r="A3025" s="17"/>
    </row>
    <row r="3026">
      <c r="A3026" s="17"/>
    </row>
    <row r="3027">
      <c r="A3027" s="17"/>
    </row>
    <row r="3028">
      <c r="A3028" s="17"/>
    </row>
    <row r="3029">
      <c r="A3029" s="17"/>
    </row>
    <row r="3030">
      <c r="A3030" s="17"/>
    </row>
    <row r="3031">
      <c r="A3031" s="17"/>
    </row>
    <row r="3032">
      <c r="A3032" s="18"/>
    </row>
    <row r="3033">
      <c r="A3033" s="18"/>
    </row>
    <row r="3034">
      <c r="A3034" s="18"/>
    </row>
    <row r="3035">
      <c r="A3035" s="18"/>
    </row>
    <row r="3036">
      <c r="A3036" s="18"/>
    </row>
    <row r="3037">
      <c r="A3037" s="18"/>
    </row>
    <row r="3038">
      <c r="A3038" s="18"/>
    </row>
    <row r="3039">
      <c r="A3039" s="18"/>
    </row>
    <row r="3040">
      <c r="A3040" s="18"/>
    </row>
    <row r="3041">
      <c r="A3041" s="18"/>
      <c r="C3041" s="16"/>
    </row>
    <row r="3042">
      <c r="A3042" s="17"/>
    </row>
    <row r="3043">
      <c r="A3043" s="17"/>
    </row>
    <row r="3044">
      <c r="A3044" s="17"/>
    </row>
    <row r="3045">
      <c r="A3045" s="17"/>
    </row>
    <row r="3046">
      <c r="A3046" s="17"/>
    </row>
    <row r="3047">
      <c r="A3047" s="17"/>
    </row>
    <row r="3048">
      <c r="A3048" s="17"/>
    </row>
    <row r="3049">
      <c r="A3049" s="18"/>
    </row>
    <row r="3050">
      <c r="A3050" s="18"/>
    </row>
    <row r="3051">
      <c r="A3051" s="18"/>
    </row>
    <row r="3052">
      <c r="A3052" s="18"/>
    </row>
    <row r="3053">
      <c r="A3053" s="18"/>
    </row>
    <row r="3054">
      <c r="A3054" s="18"/>
    </row>
    <row r="3055">
      <c r="A3055" s="18"/>
    </row>
    <row r="3056">
      <c r="A3056" s="18"/>
    </row>
    <row r="3057">
      <c r="A3057" s="18"/>
    </row>
    <row r="3058">
      <c r="A3058" s="18"/>
      <c r="C3058" s="16"/>
    </row>
    <row r="3059">
      <c r="A3059" s="17"/>
    </row>
    <row r="3060">
      <c r="A3060" s="17"/>
    </row>
    <row r="3061">
      <c r="A3061" s="17"/>
    </row>
    <row r="3062">
      <c r="A3062" s="17"/>
    </row>
    <row r="3063">
      <c r="A3063" s="17"/>
    </row>
    <row r="3064">
      <c r="A3064" s="17"/>
    </row>
    <row r="3065">
      <c r="A3065" s="17"/>
    </row>
    <row r="3066">
      <c r="A3066" s="18"/>
    </row>
    <row r="3067">
      <c r="A3067" s="18"/>
    </row>
    <row r="3068">
      <c r="A3068" s="18"/>
    </row>
    <row r="3069">
      <c r="A3069" s="18"/>
    </row>
    <row r="3070">
      <c r="A3070" s="18"/>
    </row>
    <row r="3071">
      <c r="A3071" s="18"/>
    </row>
    <row r="3072">
      <c r="A3072" s="18"/>
    </row>
    <row r="3073">
      <c r="A3073" s="18"/>
    </row>
    <row r="3074">
      <c r="A3074" s="18"/>
    </row>
    <row r="3075">
      <c r="A3075" s="18"/>
      <c r="C3075" s="16"/>
    </row>
    <row r="3076">
      <c r="A3076" s="17"/>
    </row>
    <row r="3077">
      <c r="A3077" s="17"/>
    </row>
    <row r="3078">
      <c r="A3078" s="17"/>
    </row>
    <row r="3079">
      <c r="A3079" s="17"/>
    </row>
    <row r="3080">
      <c r="A3080" s="17"/>
    </row>
    <row r="3081">
      <c r="A3081" s="17"/>
    </row>
    <row r="3082">
      <c r="A3082" s="17"/>
    </row>
    <row r="3083">
      <c r="A3083" s="18"/>
    </row>
    <row r="3084">
      <c r="A3084" s="18"/>
    </row>
    <row r="3085">
      <c r="A3085" s="18"/>
    </row>
    <row r="3086">
      <c r="A3086" s="18"/>
    </row>
    <row r="3087">
      <c r="A3087" s="18"/>
    </row>
    <row r="3088">
      <c r="A3088" s="18"/>
    </row>
    <row r="3089">
      <c r="A3089" s="18"/>
    </row>
    <row r="3090">
      <c r="A3090" s="18"/>
    </row>
    <row r="3091">
      <c r="A3091" s="18"/>
    </row>
    <row r="3092">
      <c r="A3092" s="18"/>
      <c r="C3092" s="16"/>
    </row>
    <row r="3093">
      <c r="A3093" s="17"/>
    </row>
    <row r="3094">
      <c r="A3094" s="17"/>
    </row>
    <row r="3095">
      <c r="A3095" s="17"/>
    </row>
    <row r="3096">
      <c r="A3096" s="17"/>
    </row>
    <row r="3097">
      <c r="A3097" s="17"/>
    </row>
    <row r="3098">
      <c r="A3098" s="17"/>
    </row>
    <row r="3099">
      <c r="A3099" s="17"/>
    </row>
    <row r="3100">
      <c r="A3100" s="18"/>
    </row>
    <row r="3101">
      <c r="A3101" s="18"/>
    </row>
    <row r="3102">
      <c r="A3102" s="18"/>
    </row>
    <row r="3103">
      <c r="A3103" s="18"/>
    </row>
    <row r="3104">
      <c r="A3104" s="18"/>
    </row>
    <row r="3105">
      <c r="A3105" s="18"/>
    </row>
    <row r="3106">
      <c r="A3106" s="18"/>
    </row>
    <row r="3107">
      <c r="A3107" s="18"/>
    </row>
    <row r="3108">
      <c r="A3108" s="18"/>
    </row>
    <row r="3109">
      <c r="A3109" s="18"/>
      <c r="C3109" s="16"/>
    </row>
    <row r="3110">
      <c r="A3110" s="17"/>
    </row>
    <row r="3111">
      <c r="A3111" s="17"/>
    </row>
    <row r="3112">
      <c r="A3112" s="17"/>
    </row>
    <row r="3113">
      <c r="A3113" s="17"/>
    </row>
    <row r="3114">
      <c r="A3114" s="17"/>
    </row>
    <row r="3115">
      <c r="A3115" s="17"/>
    </row>
    <row r="3116">
      <c r="A3116" s="17"/>
    </row>
    <row r="3117">
      <c r="A3117" s="18"/>
    </row>
    <row r="3118">
      <c r="A3118" s="18"/>
    </row>
    <row r="3119">
      <c r="A3119" s="18"/>
    </row>
    <row r="3120">
      <c r="A3120" s="18"/>
    </row>
    <row r="3121">
      <c r="A3121" s="18"/>
    </row>
    <row r="3122">
      <c r="A3122" s="18"/>
    </row>
    <row r="3123">
      <c r="A3123" s="18"/>
    </row>
    <row r="3124">
      <c r="A3124" s="18"/>
    </row>
    <row r="3125">
      <c r="A3125" s="18"/>
    </row>
    <row r="3126">
      <c r="A3126" s="18"/>
      <c r="C3126" s="16"/>
    </row>
    <row r="3127">
      <c r="A3127" s="17"/>
    </row>
    <row r="3128">
      <c r="A3128" s="17"/>
    </row>
    <row r="3129">
      <c r="A3129" s="17"/>
    </row>
    <row r="3130">
      <c r="A3130" s="17"/>
    </row>
    <row r="3131">
      <c r="A3131" s="17"/>
    </row>
    <row r="3132">
      <c r="A3132" s="17"/>
    </row>
    <row r="3133">
      <c r="A3133" s="17"/>
    </row>
    <row r="3134">
      <c r="A3134" s="18"/>
    </row>
    <row r="3135">
      <c r="A3135" s="18"/>
    </row>
    <row r="3136">
      <c r="A3136" s="18"/>
    </row>
    <row r="3137">
      <c r="A3137" s="18"/>
    </row>
    <row r="3138">
      <c r="A3138" s="18"/>
    </row>
    <row r="3139">
      <c r="A3139" s="18"/>
    </row>
    <row r="3140">
      <c r="A3140" s="18"/>
    </row>
    <row r="3141">
      <c r="A3141" s="18"/>
    </row>
    <row r="3142">
      <c r="A3142" s="18"/>
    </row>
    <row r="3143">
      <c r="A3143" s="18"/>
      <c r="C3143" s="16"/>
    </row>
    <row r="3144">
      <c r="A3144" s="17"/>
    </row>
    <row r="3145">
      <c r="A3145" s="17"/>
    </row>
    <row r="3146">
      <c r="A3146" s="17"/>
    </row>
    <row r="3147">
      <c r="A3147" s="17"/>
    </row>
    <row r="3148">
      <c r="A3148" s="17"/>
    </row>
    <row r="3149">
      <c r="A3149" s="17"/>
    </row>
    <row r="3150">
      <c r="A3150" s="17"/>
    </row>
    <row r="3151">
      <c r="A3151" s="18"/>
    </row>
    <row r="3152">
      <c r="A3152" s="18"/>
    </row>
    <row r="3153">
      <c r="A3153" s="18"/>
    </row>
    <row r="3154">
      <c r="A3154" s="18"/>
    </row>
    <row r="3155">
      <c r="A3155" s="18"/>
    </row>
    <row r="3156">
      <c r="A3156" s="18"/>
    </row>
    <row r="3157">
      <c r="A3157" s="18"/>
    </row>
    <row r="3158">
      <c r="A3158" s="18"/>
    </row>
    <row r="3159">
      <c r="A3159" s="18"/>
    </row>
    <row r="3160">
      <c r="A3160" s="18"/>
      <c r="C3160" s="16"/>
    </row>
    <row r="3161">
      <c r="A3161" s="17"/>
    </row>
    <row r="3162">
      <c r="A3162" s="17"/>
    </row>
    <row r="3163">
      <c r="A3163" s="17"/>
    </row>
    <row r="3164">
      <c r="A3164" s="17"/>
    </row>
    <row r="3165">
      <c r="A3165" s="17"/>
    </row>
    <row r="3166">
      <c r="A3166" s="17"/>
    </row>
    <row r="3167">
      <c r="A3167" s="17"/>
    </row>
    <row r="3168">
      <c r="A3168" s="18"/>
    </row>
    <row r="3169">
      <c r="A3169" s="18"/>
    </row>
    <row r="3170">
      <c r="A3170" s="18"/>
    </row>
    <row r="3171">
      <c r="A3171" s="18"/>
    </row>
    <row r="3172">
      <c r="A3172" s="18"/>
    </row>
    <row r="3173">
      <c r="A3173" s="18"/>
    </row>
    <row r="3174">
      <c r="A3174" s="18"/>
    </row>
    <row r="3175">
      <c r="A3175" s="18"/>
    </row>
    <row r="3176">
      <c r="A3176" s="18"/>
    </row>
    <row r="3177">
      <c r="A3177" s="18"/>
      <c r="C3177" s="16"/>
    </row>
    <row r="3178">
      <c r="A3178" s="17"/>
    </row>
    <row r="3179">
      <c r="A3179" s="17"/>
    </row>
    <row r="3180">
      <c r="A3180" s="17"/>
    </row>
    <row r="3181">
      <c r="A3181" s="17"/>
    </row>
    <row r="3182">
      <c r="A3182" s="17"/>
    </row>
    <row r="3183">
      <c r="A3183" s="17"/>
    </row>
    <row r="3184">
      <c r="A3184" s="17"/>
    </row>
    <row r="3185">
      <c r="A3185" s="18"/>
    </row>
    <row r="3186">
      <c r="A3186" s="18"/>
    </row>
    <row r="3187">
      <c r="A3187" s="18"/>
    </row>
    <row r="3188">
      <c r="A3188" s="18"/>
    </row>
    <row r="3189">
      <c r="A3189" s="18"/>
    </row>
    <row r="3190">
      <c r="A3190" s="18"/>
    </row>
    <row r="3191">
      <c r="A3191" s="18"/>
    </row>
    <row r="3192">
      <c r="A3192" s="18"/>
    </row>
    <row r="3193">
      <c r="A3193" s="18"/>
    </row>
    <row r="3194">
      <c r="A3194" s="18"/>
      <c r="C3194" s="16"/>
    </row>
    <row r="3195">
      <c r="A3195" s="17"/>
    </row>
    <row r="3196">
      <c r="A3196" s="17"/>
    </row>
    <row r="3197">
      <c r="A3197" s="17"/>
    </row>
    <row r="3198">
      <c r="A3198" s="17"/>
    </row>
    <row r="3199">
      <c r="A3199" s="17"/>
    </row>
    <row r="3200">
      <c r="A3200" s="17"/>
    </row>
    <row r="3201">
      <c r="A3201" s="17"/>
    </row>
    <row r="3202">
      <c r="A3202" s="18"/>
    </row>
    <row r="3203">
      <c r="A3203" s="18"/>
    </row>
    <row r="3204">
      <c r="A3204" s="18"/>
    </row>
    <row r="3205">
      <c r="A3205" s="18"/>
    </row>
    <row r="3206">
      <c r="A3206" s="18"/>
    </row>
    <row r="3207">
      <c r="A3207" s="18"/>
    </row>
    <row r="3208">
      <c r="A3208" s="18"/>
    </row>
    <row r="3209">
      <c r="A3209" s="18"/>
    </row>
    <row r="3210">
      <c r="A3210" s="18"/>
    </row>
    <row r="3211">
      <c r="A3211" s="18"/>
      <c r="C3211" s="16"/>
    </row>
    <row r="3212">
      <c r="A3212" s="17"/>
    </row>
    <row r="3213">
      <c r="A3213" s="17"/>
    </row>
    <row r="3214">
      <c r="A3214" s="17"/>
    </row>
    <row r="3215">
      <c r="A3215" s="17"/>
    </row>
    <row r="3216">
      <c r="A3216" s="17"/>
    </row>
    <row r="3217">
      <c r="A3217" s="17"/>
    </row>
    <row r="3218">
      <c r="A3218" s="17"/>
    </row>
    <row r="3219">
      <c r="A3219" s="18"/>
    </row>
    <row r="3220">
      <c r="A3220" s="18"/>
    </row>
    <row r="3221">
      <c r="A3221" s="18"/>
    </row>
    <row r="3222">
      <c r="A3222" s="18"/>
    </row>
    <row r="3223">
      <c r="A3223" s="18"/>
    </row>
    <row r="3224">
      <c r="A3224" s="18"/>
    </row>
    <row r="3225">
      <c r="A3225" s="18"/>
    </row>
    <row r="3226">
      <c r="A3226" s="18"/>
    </row>
    <row r="3227">
      <c r="A3227" s="18"/>
    </row>
    <row r="3228">
      <c r="A3228" s="18"/>
      <c r="C3228" s="16"/>
    </row>
    <row r="3229">
      <c r="A3229" s="17"/>
    </row>
    <row r="3230">
      <c r="A3230" s="17"/>
    </row>
    <row r="3231">
      <c r="A3231" s="17"/>
    </row>
    <row r="3232">
      <c r="A3232" s="17"/>
    </row>
    <row r="3233">
      <c r="A3233" s="17"/>
    </row>
    <row r="3234">
      <c r="A3234" s="17"/>
    </row>
    <row r="3235">
      <c r="A3235" s="17"/>
    </row>
    <row r="3236">
      <c r="A3236" s="18"/>
    </row>
    <row r="3237">
      <c r="A3237" s="18"/>
    </row>
    <row r="3238">
      <c r="A3238" s="18"/>
    </row>
    <row r="3239">
      <c r="A3239" s="18"/>
    </row>
    <row r="3240">
      <c r="A3240" s="18"/>
    </row>
    <row r="3241">
      <c r="A3241" s="18"/>
    </row>
    <row r="3242">
      <c r="A3242" s="18"/>
    </row>
    <row r="3243">
      <c r="A3243" s="18"/>
    </row>
    <row r="3244">
      <c r="A3244" s="18"/>
    </row>
    <row r="3245">
      <c r="A3245" s="18"/>
      <c r="C3245" s="16"/>
    </row>
    <row r="3246">
      <c r="A3246" s="17"/>
    </row>
    <row r="3247">
      <c r="A3247" s="17"/>
    </row>
    <row r="3248">
      <c r="A3248" s="17"/>
    </row>
    <row r="3249">
      <c r="A3249" s="17"/>
    </row>
    <row r="3250">
      <c r="A3250" s="17"/>
    </row>
    <row r="3251">
      <c r="A3251" s="17"/>
    </row>
    <row r="3252">
      <c r="A3252" s="17"/>
    </row>
    <row r="3253">
      <c r="A3253" s="18"/>
    </row>
    <row r="3254">
      <c r="A3254" s="18"/>
    </row>
    <row r="3255">
      <c r="A3255" s="18"/>
    </row>
    <row r="3256">
      <c r="A3256" s="18"/>
    </row>
    <row r="3257">
      <c r="A3257" s="18"/>
    </row>
    <row r="3258">
      <c r="A3258" s="18"/>
    </row>
    <row r="3259">
      <c r="A3259" s="18"/>
    </row>
    <row r="3260">
      <c r="A3260" s="18"/>
    </row>
    <row r="3261">
      <c r="A3261" s="18"/>
    </row>
    <row r="3262">
      <c r="A3262" s="18"/>
      <c r="C3262" s="16"/>
    </row>
    <row r="3263">
      <c r="A3263" s="17"/>
    </row>
    <row r="3264">
      <c r="A3264" s="17"/>
    </row>
    <row r="3265">
      <c r="A3265" s="17"/>
    </row>
    <row r="3266">
      <c r="A3266" s="17"/>
    </row>
    <row r="3267">
      <c r="A3267" s="17"/>
    </row>
    <row r="3268">
      <c r="A3268" s="17"/>
    </row>
    <row r="3269">
      <c r="A3269" s="17"/>
    </row>
    <row r="3270">
      <c r="A3270" s="18"/>
    </row>
    <row r="3271">
      <c r="A3271" s="18"/>
    </row>
    <row r="3272">
      <c r="A3272" s="18"/>
    </row>
    <row r="3273">
      <c r="A3273" s="18"/>
    </row>
    <row r="3274">
      <c r="A3274" s="18"/>
    </row>
    <row r="3275">
      <c r="A3275" s="18"/>
    </row>
    <row r="3276">
      <c r="A3276" s="18"/>
    </row>
    <row r="3277">
      <c r="A3277" s="18"/>
    </row>
    <row r="3278">
      <c r="A3278" s="18"/>
    </row>
    <row r="3279">
      <c r="A3279" s="18"/>
      <c r="C3279" s="16"/>
    </row>
    <row r="3280">
      <c r="A3280" s="17"/>
    </row>
    <row r="3281">
      <c r="A3281" s="17"/>
    </row>
    <row r="3282">
      <c r="A3282" s="17"/>
    </row>
    <row r="3283">
      <c r="A3283" s="17"/>
    </row>
    <row r="3284">
      <c r="A3284" s="17"/>
    </row>
    <row r="3285">
      <c r="A3285" s="17"/>
    </row>
    <row r="3286">
      <c r="A3286" s="17"/>
    </row>
    <row r="3287">
      <c r="A3287" s="18"/>
    </row>
    <row r="3288">
      <c r="A3288" s="18"/>
    </row>
    <row r="3289">
      <c r="A3289" s="18"/>
    </row>
    <row r="3290">
      <c r="A3290" s="18"/>
    </row>
    <row r="3291">
      <c r="A3291" s="18"/>
    </row>
    <row r="3292">
      <c r="A3292" s="18"/>
    </row>
    <row r="3293">
      <c r="A3293" s="18"/>
    </row>
    <row r="3294">
      <c r="A3294" s="18"/>
    </row>
    <row r="3295">
      <c r="A3295" s="18"/>
    </row>
    <row r="3296">
      <c r="A3296" s="18"/>
      <c r="C3296" s="16"/>
    </row>
    <row r="3297">
      <c r="A3297" s="17"/>
    </row>
    <row r="3298">
      <c r="A3298" s="17"/>
    </row>
    <row r="3299">
      <c r="A3299" s="17"/>
    </row>
    <row r="3300">
      <c r="A3300" s="17"/>
    </row>
    <row r="3301">
      <c r="A3301" s="17"/>
    </row>
    <row r="3302">
      <c r="A3302" s="17"/>
    </row>
    <row r="3303">
      <c r="A3303" s="17"/>
    </row>
    <row r="3304">
      <c r="A3304" s="18"/>
    </row>
    <row r="3305">
      <c r="A3305" s="18"/>
    </row>
    <row r="3306">
      <c r="A3306" s="18"/>
    </row>
    <row r="3307">
      <c r="A3307" s="18"/>
    </row>
    <row r="3308">
      <c r="A3308" s="18"/>
    </row>
    <row r="3309">
      <c r="A3309" s="18"/>
    </row>
    <row r="3310">
      <c r="A3310" s="18"/>
    </row>
    <row r="3311">
      <c r="A3311" s="18"/>
    </row>
    <row r="3312">
      <c r="A3312" s="18"/>
    </row>
    <row r="3313">
      <c r="A3313" s="18"/>
      <c r="C3313" s="16"/>
    </row>
    <row r="3314">
      <c r="A3314" s="17"/>
    </row>
    <row r="3315">
      <c r="A3315" s="17"/>
    </row>
    <row r="3316">
      <c r="A3316" s="17"/>
    </row>
    <row r="3317">
      <c r="A3317" s="17"/>
    </row>
    <row r="3318">
      <c r="A3318" s="17"/>
    </row>
    <row r="3319">
      <c r="A3319" s="17"/>
    </row>
    <row r="3320">
      <c r="A3320" s="17"/>
    </row>
    <row r="3321">
      <c r="A3321" s="18"/>
    </row>
    <row r="3322">
      <c r="A3322" s="18"/>
    </row>
    <row r="3323">
      <c r="A3323" s="18"/>
    </row>
    <row r="3324">
      <c r="A3324" s="18"/>
    </row>
    <row r="3325">
      <c r="A3325" s="18"/>
    </row>
    <row r="3326">
      <c r="A3326" s="18"/>
    </row>
    <row r="3327">
      <c r="A3327" s="18"/>
    </row>
    <row r="3328">
      <c r="A3328" s="18"/>
    </row>
    <row r="3329">
      <c r="A3329" s="18"/>
    </row>
    <row r="3330">
      <c r="A3330" s="18"/>
      <c r="C3330" s="16"/>
    </row>
    <row r="3331">
      <c r="A3331" s="17"/>
    </row>
    <row r="3332">
      <c r="A3332" s="17"/>
    </row>
    <row r="3333">
      <c r="A3333" s="17"/>
    </row>
    <row r="3334">
      <c r="A3334" s="17"/>
    </row>
    <row r="3335">
      <c r="A3335" s="17"/>
    </row>
    <row r="3336">
      <c r="A3336" s="17"/>
    </row>
    <row r="3337">
      <c r="A3337" s="17"/>
    </row>
    <row r="3338">
      <c r="A3338" s="18"/>
    </row>
    <row r="3339">
      <c r="A3339" s="18"/>
    </row>
    <row r="3340">
      <c r="A3340" s="18"/>
    </row>
    <row r="3341">
      <c r="A3341" s="18"/>
    </row>
    <row r="3342">
      <c r="A3342" s="18"/>
    </row>
    <row r="3343">
      <c r="A3343" s="18"/>
    </row>
    <row r="3344">
      <c r="A3344" s="18"/>
    </row>
    <row r="3345">
      <c r="A3345" s="18"/>
    </row>
    <row r="3346">
      <c r="A3346" s="18"/>
    </row>
    <row r="3347">
      <c r="A3347" s="18"/>
      <c r="C3347" s="16"/>
    </row>
    <row r="3348">
      <c r="A3348" s="17"/>
    </row>
    <row r="3349">
      <c r="A3349" s="17"/>
    </row>
    <row r="3350">
      <c r="A3350" s="17"/>
    </row>
    <row r="3351">
      <c r="A3351" s="17"/>
    </row>
    <row r="3352">
      <c r="A3352" s="17"/>
    </row>
    <row r="3353">
      <c r="A3353" s="17"/>
    </row>
    <row r="3354">
      <c r="A3354" s="17"/>
    </row>
    <row r="3355">
      <c r="A3355" s="18"/>
    </row>
    <row r="3356">
      <c r="A3356" s="18"/>
    </row>
    <row r="3357">
      <c r="A3357" s="18"/>
    </row>
    <row r="3358">
      <c r="A3358" s="18"/>
    </row>
    <row r="3359">
      <c r="A3359" s="18"/>
    </row>
    <row r="3360">
      <c r="A3360" s="18"/>
    </row>
    <row r="3361">
      <c r="A3361" s="18"/>
    </row>
    <row r="3362">
      <c r="A3362" s="18"/>
    </row>
    <row r="3363">
      <c r="A3363" s="18"/>
    </row>
    <row r="3364">
      <c r="A3364" s="18"/>
      <c r="C3364" s="16"/>
    </row>
    <row r="3365">
      <c r="A3365" s="17"/>
    </row>
    <row r="3366">
      <c r="A3366" s="17"/>
    </row>
    <row r="3367">
      <c r="A3367" s="17"/>
    </row>
    <row r="3368">
      <c r="A3368" s="17"/>
    </row>
    <row r="3369">
      <c r="A3369" s="17"/>
    </row>
    <row r="3370">
      <c r="A3370" s="17"/>
    </row>
    <row r="3371">
      <c r="A3371" s="17"/>
    </row>
    <row r="3372">
      <c r="A3372" s="18"/>
    </row>
    <row r="3373">
      <c r="A3373" s="18"/>
    </row>
    <row r="3374">
      <c r="A3374" s="18"/>
    </row>
    <row r="3375">
      <c r="A3375" s="18"/>
    </row>
    <row r="3376">
      <c r="A3376" s="18"/>
    </row>
    <row r="3377">
      <c r="A3377" s="18"/>
    </row>
    <row r="3378">
      <c r="A3378" s="18"/>
    </row>
    <row r="3379">
      <c r="A3379" s="18"/>
    </row>
    <row r="3380">
      <c r="A3380" s="18"/>
    </row>
    <row r="3381">
      <c r="A3381" s="18"/>
      <c r="C3381" s="16"/>
    </row>
    <row r="3382">
      <c r="A3382" s="17"/>
    </row>
    <row r="3383">
      <c r="A3383" s="17"/>
    </row>
    <row r="3384">
      <c r="A3384" s="17"/>
    </row>
    <row r="3385">
      <c r="A3385" s="17"/>
    </row>
    <row r="3386">
      <c r="A3386" s="17"/>
    </row>
    <row r="3387">
      <c r="A3387" s="17"/>
    </row>
    <row r="3388">
      <c r="A3388" s="17"/>
    </row>
    <row r="3389">
      <c r="A3389" s="17"/>
    </row>
    <row r="3390">
      <c r="A3390" s="17"/>
    </row>
    <row r="3391">
      <c r="A3391" s="17"/>
    </row>
    <row r="3392">
      <c r="A3392" s="17"/>
    </row>
    <row r="3393">
      <c r="A3393" s="17"/>
    </row>
    <row r="3394">
      <c r="A3394" s="17"/>
    </row>
    <row r="3395">
      <c r="A3395" s="17"/>
    </row>
    <row r="3396">
      <c r="A3396" s="17"/>
    </row>
    <row r="3397">
      <c r="A3397" s="17"/>
    </row>
    <row r="3398">
      <c r="A3398" s="17"/>
    </row>
    <row r="3399">
      <c r="A3399" s="17"/>
    </row>
    <row r="3400">
      <c r="A3400" s="17"/>
    </row>
    <row r="3401">
      <c r="A3401" s="17"/>
    </row>
    <row r="3402">
      <c r="A3402" s="17"/>
    </row>
    <row r="3403">
      <c r="A3403" s="17"/>
    </row>
    <row r="3404">
      <c r="A3404" s="17"/>
    </row>
    <row r="3405">
      <c r="A3405" s="17"/>
    </row>
    <row r="3406">
      <c r="A3406" s="17"/>
    </row>
    <row r="3407">
      <c r="A3407" s="17"/>
    </row>
    <row r="3408">
      <c r="A3408" s="17"/>
    </row>
    <row r="3409">
      <c r="A3409" s="17"/>
    </row>
    <row r="3410">
      <c r="A3410" s="17"/>
    </row>
    <row r="3411">
      <c r="A3411" s="17"/>
    </row>
    <row r="3412">
      <c r="A3412" s="17"/>
    </row>
    <row r="3413">
      <c r="A3413" s="17"/>
    </row>
    <row r="3414">
      <c r="A3414" s="17"/>
    </row>
    <row r="3415">
      <c r="A3415" s="17"/>
    </row>
    <row r="3416">
      <c r="A3416" s="17"/>
    </row>
    <row r="3417">
      <c r="A3417" s="17"/>
    </row>
    <row r="3418">
      <c r="A3418" s="17"/>
    </row>
    <row r="3419">
      <c r="A3419" s="17"/>
    </row>
    <row r="3420">
      <c r="A3420" s="17"/>
    </row>
    <row r="3421">
      <c r="A3421" s="17"/>
    </row>
    <row r="3422">
      <c r="A3422" s="17"/>
    </row>
    <row r="3423">
      <c r="A3423" s="17"/>
    </row>
    <row r="3424">
      <c r="A3424" s="17"/>
    </row>
    <row r="3425">
      <c r="A3425" s="17"/>
    </row>
    <row r="3426">
      <c r="A3426" s="17"/>
    </row>
    <row r="3427">
      <c r="A3427" s="17"/>
    </row>
    <row r="3428">
      <c r="A3428" s="17"/>
    </row>
    <row r="3429">
      <c r="A3429" s="17"/>
    </row>
    <row r="3430">
      <c r="A3430" s="17"/>
    </row>
    <row r="3431">
      <c r="A3431" s="17"/>
    </row>
    <row r="3432">
      <c r="A3432" s="17"/>
    </row>
    <row r="3433">
      <c r="A3433" s="17"/>
    </row>
    <row r="3434">
      <c r="A3434" s="17"/>
    </row>
    <row r="3435">
      <c r="A3435" s="17"/>
    </row>
    <row r="3436">
      <c r="A3436" s="17"/>
    </row>
    <row r="3437">
      <c r="A3437" s="17"/>
    </row>
    <row r="3438">
      <c r="A3438" s="17"/>
    </row>
    <row r="3439">
      <c r="A3439" s="17"/>
    </row>
    <row r="3440">
      <c r="A3440" s="17"/>
    </row>
    <row r="3441">
      <c r="A3441" s="17"/>
    </row>
    <row r="3442">
      <c r="A3442" s="17"/>
    </row>
    <row r="3443">
      <c r="A3443" s="17"/>
    </row>
    <row r="3444">
      <c r="A3444" s="17"/>
    </row>
    <row r="3445">
      <c r="A3445" s="17"/>
    </row>
    <row r="3446">
      <c r="A3446" s="17"/>
    </row>
    <row r="3447">
      <c r="A3447" s="17"/>
    </row>
    <row r="3448">
      <c r="A3448" s="17"/>
    </row>
    <row r="3449">
      <c r="A3449" s="17"/>
    </row>
    <row r="3450">
      <c r="A3450" s="17"/>
    </row>
    <row r="3451">
      <c r="A3451" s="17"/>
    </row>
    <row r="3452">
      <c r="A3452" s="17"/>
    </row>
    <row r="3453">
      <c r="A3453" s="17"/>
    </row>
    <row r="3454">
      <c r="A3454" s="17"/>
    </row>
    <row r="3455">
      <c r="A3455" s="17"/>
    </row>
    <row r="3456">
      <c r="A3456" s="17"/>
    </row>
    <row r="3457">
      <c r="A3457" s="17"/>
    </row>
    <row r="3458">
      <c r="A3458" s="17"/>
    </row>
    <row r="3459">
      <c r="A3459" s="17"/>
    </row>
    <row r="3460">
      <c r="A3460" s="17"/>
    </row>
    <row r="3461">
      <c r="A3461" s="17"/>
    </row>
    <row r="3462">
      <c r="A3462" s="17"/>
    </row>
    <row r="3463">
      <c r="A3463" s="17"/>
    </row>
    <row r="3464">
      <c r="A3464" s="17"/>
    </row>
    <row r="3465">
      <c r="A3465" s="17"/>
    </row>
    <row r="3466">
      <c r="A3466" s="17"/>
    </row>
    <row r="3467">
      <c r="A3467" s="17"/>
    </row>
    <row r="3468">
      <c r="A3468" s="17"/>
    </row>
    <row r="3469">
      <c r="A3469" s="17"/>
    </row>
    <row r="3470">
      <c r="A3470" s="17"/>
    </row>
    <row r="3471">
      <c r="A3471" s="17"/>
    </row>
    <row r="3472">
      <c r="A3472" s="17"/>
    </row>
    <row r="3473">
      <c r="A3473" s="17"/>
    </row>
    <row r="3474">
      <c r="A3474" s="17"/>
    </row>
    <row r="3475">
      <c r="A3475" s="17"/>
    </row>
    <row r="3476">
      <c r="A3476" s="17"/>
    </row>
    <row r="3477">
      <c r="A3477" s="17"/>
    </row>
    <row r="3478">
      <c r="A3478" s="17"/>
    </row>
    <row r="3479">
      <c r="A3479" s="17"/>
    </row>
    <row r="3480">
      <c r="A3480" s="17"/>
    </row>
    <row r="3481">
      <c r="A3481" s="17"/>
    </row>
    <row r="3482">
      <c r="A3482" s="17"/>
    </row>
    <row r="3483">
      <c r="A3483" s="17"/>
    </row>
    <row r="3484">
      <c r="A3484" s="17"/>
    </row>
    <row r="3485">
      <c r="A3485" s="17"/>
    </row>
    <row r="3486">
      <c r="A3486" s="17"/>
    </row>
    <row r="3487">
      <c r="A3487" s="17"/>
    </row>
    <row r="3488">
      <c r="A3488" s="17"/>
    </row>
    <row r="3489">
      <c r="A3489" s="17"/>
    </row>
    <row r="3490">
      <c r="A3490" s="17"/>
    </row>
    <row r="3491">
      <c r="A3491" s="17"/>
    </row>
    <row r="3492">
      <c r="A3492" s="17"/>
    </row>
    <row r="3493">
      <c r="A3493" s="17"/>
    </row>
    <row r="3494">
      <c r="A3494" s="17"/>
    </row>
    <row r="3495">
      <c r="A3495" s="17"/>
    </row>
    <row r="3496">
      <c r="A3496" s="17"/>
    </row>
    <row r="3497">
      <c r="A3497" s="17"/>
    </row>
    <row r="3498">
      <c r="A3498" s="17"/>
    </row>
    <row r="3499">
      <c r="A3499" s="17"/>
    </row>
    <row r="3500">
      <c r="A3500" s="17"/>
    </row>
    <row r="3501">
      <c r="A3501" s="17"/>
    </row>
    <row r="3502">
      <c r="A3502" s="17"/>
    </row>
    <row r="3503">
      <c r="A3503" s="17"/>
    </row>
    <row r="3504">
      <c r="A3504" s="17"/>
    </row>
    <row r="3505">
      <c r="A3505" s="17"/>
    </row>
    <row r="3506">
      <c r="A3506" s="17"/>
    </row>
    <row r="3507">
      <c r="A3507" s="17"/>
    </row>
    <row r="3508">
      <c r="A3508" s="17"/>
    </row>
    <row r="3509">
      <c r="A3509" s="17"/>
    </row>
    <row r="3510">
      <c r="A3510" s="17"/>
    </row>
    <row r="3511">
      <c r="A3511" s="17"/>
    </row>
    <row r="3512">
      <c r="A3512" s="17"/>
    </row>
    <row r="3513">
      <c r="A3513" s="17"/>
    </row>
    <row r="3514">
      <c r="A3514" s="17"/>
    </row>
    <row r="3515">
      <c r="A3515" s="17"/>
    </row>
  </sheetData>
  <autoFilter ref="$A$1:$C$337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93.25"/>
    <col customWidth="1" min="3" max="3" width="171.63"/>
    <col customWidth="1" min="4" max="4" width="13.0"/>
    <col customWidth="1" min="5" max="5" width="24.63"/>
    <col customWidth="1" min="6" max="6" width="26.5"/>
    <col customWidth="1" min="7" max="7" width="110.25"/>
    <col customWidth="1" min="8" max="8" width="236.75"/>
    <col customWidth="1" min="9" max="9" width="162.0"/>
    <col customWidth="1" min="10" max="10" width="9.75"/>
  </cols>
  <sheetData>
    <row r="1">
      <c r="A1" s="11" t="s">
        <v>0</v>
      </c>
      <c r="B1" s="19" t="s">
        <v>1</v>
      </c>
      <c r="C1" s="19" t="s">
        <v>2</v>
      </c>
      <c r="D1" s="19" t="s">
        <v>3</v>
      </c>
      <c r="E1" s="19" t="s">
        <v>4</v>
      </c>
      <c r="F1" s="19" t="s">
        <v>5</v>
      </c>
      <c r="G1" s="19" t="s">
        <v>6</v>
      </c>
      <c r="H1" s="19" t="s">
        <v>7</v>
      </c>
      <c r="I1" s="19" t="s">
        <v>8</v>
      </c>
      <c r="J1" s="19" t="s">
        <v>9</v>
      </c>
      <c r="K1" s="19" t="s">
        <v>10</v>
      </c>
      <c r="L1" s="19" t="s">
        <v>11</v>
      </c>
    </row>
    <row r="2">
      <c r="A2" s="10" t="str">
        <f t="array" ref="A2">IFERROR(INDEX(HiringCafe_Job_Clean!$B:$B, SMALL(IF(HiringCafe_Job_Clean!$A$1:$A$5027="Posted Time", ROW(HiringCafe_Job_Clean!$A$1:$A$5027)), ROW()-1)), "")</f>
        <v/>
      </c>
      <c r="B2" s="10" t="str">
        <f t="array" ref="B2">IFERROR(INDEX(HiringCafe_Job_Clean!$B:$B, SMALL(IF(HiringCafe_Job_Clean!$A$1:$A$5027="Role", ROW(HiringCafe_Job_Clean!$A$1:$A$5027)), ROW()-1)), "")</f>
        <v/>
      </c>
      <c r="C2" s="10" t="str">
        <f t="array" ref="C2">IFERROR(INDEX(HiringCafe_Job_Clean!$B:$B, SMALL(IF(HiringCafe_Job_Clean!$A$1:$A$5027="Area", ROW(HiringCafe_Job_Clean!$A$1:$A$5027)), ROW()-1)), "")</f>
        <v/>
      </c>
      <c r="D2" s="10" t="str">
        <f t="array" ref="D2">IFERROR(INDEX(HiringCafe_Job_Clean!$B:$B, SMALL(IF(HiringCafe_Job_Clean!$A$1:$A$5027="Work Type", ROW(HiringCafe_Job_Clean!$A$1:$A$5027)), ROW()-1)), "")</f>
        <v/>
      </c>
      <c r="E2" s="10" t="str">
        <f t="array" ref="E2">IFERROR(INDEX(HiringCafe_Job_Clean!$B:$B, SMALL(IF(HiringCafe_Job_Clean!$A$1:$A$5027="Contract Type", ROW(HiringCafe_Job_Clean!$A$1:$A$5027)), ROW()-1)), "")</f>
        <v/>
      </c>
      <c r="F2" s="10" t="str">
        <f t="array" ref="F2">IFERROR(INDEX(HiringCafe_Job_Clean!$B:$B, SMALL(IF(HiringCafe_Job_Clean!$A$1:$A$5027="Company", ROW(HiringCafe_Job_Clean!$A$1:$A$5027)), ROW()-1)), "")</f>
        <v/>
      </c>
      <c r="G2" s="10" t="str">
        <f t="array" ref="G2">IFERROR(INDEX(HiringCafe_Job_Clean!$B:$B, SMALL(IF(HiringCafe_Job_Clean!$A$1:$A$5027="Company &amp; Description", ROW(HiringCafe_Job_Clean!$A$1:$A$5027)), ROW()-1)), "")</f>
        <v/>
      </c>
      <c r="H2" s="10" t="str">
        <f t="array" ref="H2">IFERROR(INDEX(HiringCafe_Job_Clean!$B:$B, SMALL(IF(HiringCafe_Job_Clean!$A$1:$A$5027="Requirements Summary", ROW(HiringCafe_Job_Clean!$A$1:$A$5027)), ROW()-1)), "")</f>
        <v/>
      </c>
      <c r="I2" s="10" t="str">
        <f t="array" ref="I2">IFERROR(INDEX(HiringCafe_Job_Clean!$B:$B, SMALL(IF(HiringCafe_Job_Clean!$A$1:$A$5027="Technical Tools mentioned", ROW(HiringCafe_Job_Clean!$A$1:$A$5027)), ROW()-1)), "")</f>
        <v/>
      </c>
      <c r="J2" s="10" t="str">
        <f t="array" ref="J2">IFERROR(INDEX(HiringCafe_Job_Clean!$B:$B, SMALL(IF(HiringCafe_Job_Clean!$A$1:$A$5027="Job Posting", ROW(HiringCafe_Job_Clean!$A$1:$A$5027)), ROW()-1)), "")</f>
        <v/>
      </c>
      <c r="K2" s="12"/>
      <c r="L2" s="6"/>
    </row>
    <row r="3">
      <c r="K3" s="12"/>
      <c r="L3" s="6"/>
    </row>
    <row r="4">
      <c r="K4" s="12"/>
      <c r="L4" s="6"/>
    </row>
    <row r="5">
      <c r="K5" s="12"/>
      <c r="L5" s="6"/>
    </row>
    <row r="6">
      <c r="K6" s="12"/>
      <c r="L6" s="6"/>
    </row>
    <row r="7">
      <c r="K7" s="12"/>
      <c r="L7" s="6"/>
    </row>
    <row r="8">
      <c r="K8" s="12"/>
      <c r="L8" s="6"/>
    </row>
    <row r="9">
      <c r="K9" s="12"/>
      <c r="L9" s="6"/>
    </row>
    <row r="10">
      <c r="K10" s="12"/>
      <c r="L10" s="6"/>
    </row>
    <row r="11">
      <c r="K11" s="12"/>
      <c r="L11" s="6"/>
    </row>
    <row r="12">
      <c r="K12" s="12"/>
      <c r="L12" s="6"/>
    </row>
    <row r="13">
      <c r="K13" s="12"/>
      <c r="L13" s="6"/>
    </row>
    <row r="14">
      <c r="K14" s="12"/>
      <c r="L14" s="6"/>
    </row>
    <row r="15">
      <c r="K15" s="12"/>
      <c r="L15" s="6"/>
    </row>
    <row r="16">
      <c r="K16" s="12"/>
      <c r="L16" s="6"/>
    </row>
    <row r="17">
      <c r="K17" s="12"/>
      <c r="L17" s="6"/>
    </row>
    <row r="18">
      <c r="K18" s="12"/>
      <c r="L18" s="6"/>
    </row>
    <row r="19">
      <c r="K19" s="12"/>
      <c r="L19" s="6"/>
    </row>
    <row r="20">
      <c r="K20" s="12"/>
      <c r="L20" s="6"/>
    </row>
    <row r="21">
      <c r="K21" s="12"/>
      <c r="L21" s="6"/>
    </row>
    <row r="22">
      <c r="K22" s="12"/>
      <c r="L22" s="6"/>
    </row>
    <row r="23">
      <c r="K23" s="12"/>
      <c r="L23" s="6"/>
    </row>
    <row r="24">
      <c r="K24" s="12"/>
      <c r="L24" s="6"/>
    </row>
    <row r="25">
      <c r="K25" s="12"/>
      <c r="L25" s="6"/>
    </row>
    <row r="26">
      <c r="K26" s="12"/>
      <c r="L26" s="6"/>
    </row>
    <row r="27">
      <c r="K27" s="12"/>
      <c r="L27" s="6"/>
    </row>
    <row r="28">
      <c r="K28" s="12"/>
      <c r="L28" s="6"/>
    </row>
    <row r="29">
      <c r="K29" s="12"/>
      <c r="L29" s="6"/>
    </row>
    <row r="30">
      <c r="K30" s="12"/>
      <c r="L30" s="6"/>
    </row>
    <row r="31">
      <c r="K31" s="12"/>
      <c r="L31" s="6"/>
    </row>
    <row r="32">
      <c r="K32" s="12"/>
      <c r="L32" s="6"/>
    </row>
    <row r="33">
      <c r="K33" s="12"/>
      <c r="L33" s="6"/>
    </row>
    <row r="34">
      <c r="K34" s="12"/>
      <c r="L34" s="6"/>
    </row>
    <row r="35">
      <c r="K35" s="12"/>
      <c r="L35" s="6"/>
    </row>
    <row r="36">
      <c r="K36" s="12"/>
      <c r="L36" s="6"/>
    </row>
    <row r="37">
      <c r="K37" s="12"/>
      <c r="L37" s="6"/>
    </row>
    <row r="38">
      <c r="K38" s="12"/>
      <c r="L38" s="6"/>
    </row>
    <row r="39">
      <c r="K39" s="12"/>
      <c r="L39" s="6"/>
    </row>
    <row r="40">
      <c r="K40" s="12"/>
      <c r="L40" s="6"/>
    </row>
    <row r="41">
      <c r="K41" s="12"/>
      <c r="L41" s="6"/>
    </row>
    <row r="42">
      <c r="K42" s="12"/>
      <c r="L42" s="6"/>
    </row>
    <row r="43">
      <c r="K43" s="12"/>
      <c r="L43" s="6"/>
    </row>
    <row r="44">
      <c r="K44" s="12"/>
      <c r="L44" s="6"/>
    </row>
    <row r="45">
      <c r="K45" s="12"/>
      <c r="L45" s="6"/>
    </row>
    <row r="46">
      <c r="K46" s="12"/>
      <c r="L46" s="6"/>
    </row>
    <row r="47">
      <c r="K47" s="12"/>
      <c r="L47" s="6"/>
    </row>
    <row r="48">
      <c r="K48" s="12"/>
      <c r="L48" s="6"/>
    </row>
    <row r="49">
      <c r="K49" s="12"/>
      <c r="L49" s="6"/>
    </row>
    <row r="50">
      <c r="K50" s="12"/>
      <c r="L50" s="6"/>
    </row>
    <row r="51">
      <c r="K51" s="12"/>
      <c r="L51" s="6"/>
    </row>
    <row r="52">
      <c r="K52" s="12"/>
      <c r="L52" s="6"/>
    </row>
    <row r="53">
      <c r="K53" s="12"/>
      <c r="L53" s="6"/>
    </row>
    <row r="54">
      <c r="K54" s="12"/>
      <c r="L54" s="6"/>
    </row>
    <row r="55">
      <c r="K55" s="12"/>
      <c r="L55" s="6"/>
    </row>
    <row r="56">
      <c r="K56" s="12"/>
      <c r="L56" s="6"/>
    </row>
    <row r="57">
      <c r="K57" s="12"/>
      <c r="L57" s="6"/>
    </row>
    <row r="58">
      <c r="K58" s="12"/>
      <c r="L58" s="6"/>
    </row>
    <row r="59">
      <c r="K59" s="12"/>
      <c r="L59" s="6"/>
    </row>
    <row r="60">
      <c r="K60" s="12"/>
      <c r="L60" s="6"/>
    </row>
    <row r="61">
      <c r="K61" s="12"/>
      <c r="L61" s="6"/>
    </row>
    <row r="62">
      <c r="K62" s="12"/>
      <c r="L62" s="6"/>
    </row>
    <row r="63">
      <c r="K63" s="12"/>
      <c r="L63" s="6"/>
    </row>
    <row r="64">
      <c r="K64" s="12"/>
      <c r="L64" s="6"/>
    </row>
    <row r="65">
      <c r="K65" s="12"/>
      <c r="L65" s="6"/>
    </row>
    <row r="66">
      <c r="K66" s="12"/>
      <c r="L66" s="6"/>
    </row>
    <row r="67">
      <c r="K67" s="12"/>
      <c r="L67" s="6"/>
    </row>
    <row r="68">
      <c r="K68" s="12"/>
      <c r="L68" s="6"/>
    </row>
    <row r="69">
      <c r="K69" s="12"/>
      <c r="L69" s="6"/>
    </row>
    <row r="70">
      <c r="K70" s="12"/>
      <c r="L70" s="6"/>
    </row>
    <row r="71">
      <c r="K71" s="12"/>
      <c r="L71" s="6"/>
    </row>
    <row r="72">
      <c r="K72" s="12"/>
      <c r="L72" s="6"/>
    </row>
    <row r="73">
      <c r="K73" s="12"/>
      <c r="L73" s="6"/>
    </row>
    <row r="74">
      <c r="K74" s="12"/>
      <c r="L74" s="6"/>
    </row>
    <row r="75">
      <c r="K75" s="12"/>
      <c r="L75" s="6"/>
    </row>
    <row r="76">
      <c r="K76" s="12"/>
      <c r="L76" s="6"/>
    </row>
    <row r="77">
      <c r="K77" s="12"/>
      <c r="L77" s="6"/>
    </row>
    <row r="78">
      <c r="K78" s="12"/>
      <c r="L78" s="6"/>
    </row>
    <row r="79">
      <c r="K79" s="12"/>
      <c r="L79" s="6"/>
    </row>
    <row r="80">
      <c r="K80" s="12"/>
      <c r="L80" s="6"/>
    </row>
    <row r="81">
      <c r="K81" s="12"/>
      <c r="L81" s="6"/>
    </row>
    <row r="82">
      <c r="K82" s="12"/>
      <c r="L82" s="6"/>
    </row>
    <row r="83">
      <c r="K83" s="12"/>
      <c r="L83" s="6"/>
    </row>
    <row r="84">
      <c r="K84" s="12"/>
      <c r="L84" s="6"/>
    </row>
    <row r="85">
      <c r="K85" s="12"/>
      <c r="L85" s="6"/>
    </row>
    <row r="86">
      <c r="K86" s="12"/>
      <c r="L86" s="6"/>
    </row>
    <row r="87">
      <c r="K87" s="12"/>
      <c r="L87" s="6"/>
    </row>
    <row r="88">
      <c r="K88" s="12"/>
      <c r="L88" s="6"/>
    </row>
    <row r="89">
      <c r="K89" s="12"/>
      <c r="L89" s="6"/>
    </row>
    <row r="90">
      <c r="K90" s="12"/>
      <c r="L90" s="6"/>
    </row>
    <row r="91">
      <c r="K91" s="12"/>
      <c r="L91" s="6"/>
    </row>
    <row r="92">
      <c r="K92" s="12"/>
      <c r="L92" s="6"/>
    </row>
    <row r="93">
      <c r="K93" s="12"/>
      <c r="L93" s="6"/>
    </row>
    <row r="94">
      <c r="K94" s="12"/>
      <c r="L94" s="6"/>
    </row>
    <row r="95">
      <c r="K95" s="12"/>
      <c r="L95" s="6"/>
    </row>
    <row r="96">
      <c r="K96" s="12"/>
      <c r="L96" s="6"/>
    </row>
    <row r="97">
      <c r="K97" s="12"/>
      <c r="L97" s="6"/>
    </row>
    <row r="98">
      <c r="K98" s="12"/>
      <c r="L98" s="6"/>
    </row>
    <row r="99">
      <c r="K99" s="12"/>
      <c r="L99" s="6"/>
    </row>
    <row r="100">
      <c r="K100" s="12"/>
      <c r="L100" s="6"/>
    </row>
    <row r="101">
      <c r="K101" s="12"/>
      <c r="L101" s="6"/>
    </row>
    <row r="102">
      <c r="K102" s="12"/>
      <c r="L102" s="6"/>
    </row>
    <row r="103">
      <c r="K103" s="12"/>
      <c r="L103" s="6"/>
    </row>
    <row r="104">
      <c r="K104" s="12"/>
      <c r="L104" s="6"/>
    </row>
    <row r="105">
      <c r="K105" s="12"/>
      <c r="L105" s="6"/>
    </row>
    <row r="106">
      <c r="K106" s="12"/>
      <c r="L106" s="6"/>
    </row>
    <row r="107">
      <c r="K107" s="12"/>
      <c r="L107" s="6"/>
    </row>
    <row r="108">
      <c r="K108" s="12"/>
      <c r="L108" s="6"/>
    </row>
    <row r="109">
      <c r="K109" s="12"/>
      <c r="L109" s="6"/>
    </row>
    <row r="110">
      <c r="K110" s="12"/>
      <c r="L110" s="6"/>
    </row>
    <row r="111">
      <c r="K111" s="12"/>
      <c r="L111" s="6"/>
    </row>
    <row r="112">
      <c r="K112" s="12"/>
      <c r="L112" s="6"/>
    </row>
    <row r="113">
      <c r="K113" s="12"/>
      <c r="L113" s="6"/>
    </row>
    <row r="114">
      <c r="K114" s="12"/>
      <c r="L114" s="6"/>
    </row>
    <row r="115">
      <c r="K115" s="12"/>
      <c r="L115" s="6"/>
    </row>
    <row r="116">
      <c r="K116" s="12"/>
      <c r="L116" s="6"/>
    </row>
    <row r="117">
      <c r="K117" s="12"/>
      <c r="L117" s="6"/>
    </row>
    <row r="118">
      <c r="K118" s="12"/>
      <c r="L118" s="6"/>
    </row>
    <row r="119">
      <c r="K119" s="12"/>
      <c r="L119" s="6"/>
    </row>
    <row r="120">
      <c r="K120" s="12"/>
      <c r="L120" s="6"/>
    </row>
    <row r="121">
      <c r="K121" s="12"/>
      <c r="L121" s="6"/>
    </row>
    <row r="122">
      <c r="K122" s="12"/>
      <c r="L122" s="6"/>
    </row>
    <row r="123">
      <c r="K123" s="12"/>
      <c r="L123" s="6"/>
    </row>
    <row r="124">
      <c r="K124" s="12"/>
      <c r="L124" s="6"/>
    </row>
    <row r="125">
      <c r="K125" s="12"/>
      <c r="L125" s="6"/>
    </row>
    <row r="126">
      <c r="K126" s="12"/>
      <c r="L126" s="6"/>
    </row>
    <row r="127">
      <c r="K127" s="12"/>
      <c r="L127" s="6"/>
    </row>
    <row r="128">
      <c r="K128" s="12"/>
      <c r="L128" s="6"/>
    </row>
    <row r="129">
      <c r="K129" s="12"/>
      <c r="L129" s="6"/>
    </row>
    <row r="130">
      <c r="K130" s="12"/>
      <c r="L130" s="6"/>
    </row>
    <row r="131">
      <c r="K131" s="12"/>
      <c r="L131" s="6"/>
    </row>
    <row r="132">
      <c r="K132" s="12"/>
      <c r="L132" s="6"/>
    </row>
    <row r="133">
      <c r="K133" s="12"/>
      <c r="L133" s="6"/>
    </row>
    <row r="134">
      <c r="K134" s="12"/>
      <c r="L134" s="6"/>
    </row>
    <row r="135">
      <c r="K135" s="12"/>
      <c r="L135" s="6"/>
    </row>
    <row r="136">
      <c r="K136" s="12"/>
      <c r="L136" s="6"/>
    </row>
    <row r="137">
      <c r="K137" s="12"/>
      <c r="L137" s="6"/>
    </row>
    <row r="138">
      <c r="K138" s="12"/>
      <c r="L138" s="6"/>
    </row>
    <row r="139">
      <c r="K139" s="12"/>
      <c r="L139" s="6"/>
    </row>
    <row r="140">
      <c r="K140" s="12"/>
      <c r="L140" s="6"/>
    </row>
    <row r="141">
      <c r="K141" s="12"/>
      <c r="L141" s="6"/>
    </row>
    <row r="142">
      <c r="K142" s="12"/>
      <c r="L142" s="6"/>
    </row>
    <row r="143">
      <c r="K143" s="12"/>
      <c r="L143" s="6"/>
    </row>
    <row r="144">
      <c r="K144" s="12"/>
      <c r="L144" s="6"/>
    </row>
    <row r="145">
      <c r="K145" s="12"/>
      <c r="L145" s="6"/>
    </row>
    <row r="146">
      <c r="K146" s="12"/>
      <c r="L146" s="6"/>
    </row>
    <row r="147">
      <c r="K147" s="12"/>
      <c r="L147" s="6"/>
    </row>
    <row r="148">
      <c r="K148" s="12"/>
      <c r="L148" s="6"/>
    </row>
    <row r="149">
      <c r="K149" s="12"/>
      <c r="L149" s="6"/>
    </row>
    <row r="150">
      <c r="K150" s="12"/>
      <c r="L150" s="6"/>
    </row>
    <row r="151">
      <c r="K151" s="12"/>
      <c r="L151" s="6"/>
    </row>
    <row r="152">
      <c r="K152" s="12"/>
      <c r="L152" s="6"/>
    </row>
    <row r="153">
      <c r="K153" s="12"/>
      <c r="L153" s="6"/>
    </row>
    <row r="154">
      <c r="K154" s="12"/>
      <c r="L154" s="6"/>
    </row>
    <row r="155">
      <c r="K155" s="12"/>
      <c r="L155" s="6"/>
    </row>
    <row r="156">
      <c r="K156" s="12"/>
      <c r="L156" s="6"/>
    </row>
    <row r="157">
      <c r="K157" s="12"/>
      <c r="L157" s="6"/>
    </row>
    <row r="158">
      <c r="K158" s="12"/>
      <c r="L158" s="6"/>
    </row>
    <row r="159">
      <c r="K159" s="12"/>
      <c r="L159" s="6"/>
    </row>
    <row r="160">
      <c r="K160" s="12"/>
      <c r="L160" s="6"/>
    </row>
    <row r="161">
      <c r="K161" s="12"/>
      <c r="L161" s="6"/>
    </row>
    <row r="162">
      <c r="K162" s="12"/>
      <c r="L162" s="6"/>
    </row>
    <row r="163">
      <c r="K163" s="12"/>
      <c r="L163" s="6"/>
    </row>
    <row r="164">
      <c r="K164" s="12"/>
      <c r="L164" s="6"/>
    </row>
    <row r="165">
      <c r="K165" s="12"/>
      <c r="L165" s="6"/>
    </row>
    <row r="166">
      <c r="K166" s="12"/>
      <c r="L166" s="6"/>
    </row>
    <row r="167">
      <c r="K167" s="12"/>
      <c r="L167" s="6"/>
    </row>
    <row r="168">
      <c r="K168" s="12"/>
      <c r="L168" s="6"/>
    </row>
    <row r="169">
      <c r="K169" s="12"/>
      <c r="L169" s="6"/>
    </row>
    <row r="170">
      <c r="K170" s="12"/>
      <c r="L170" s="6"/>
    </row>
    <row r="171">
      <c r="K171" s="12"/>
      <c r="L171" s="6"/>
    </row>
    <row r="172">
      <c r="K172" s="12"/>
      <c r="L172" s="6"/>
    </row>
    <row r="173">
      <c r="K173" s="12"/>
      <c r="L173" s="6"/>
    </row>
    <row r="174">
      <c r="K174" s="12"/>
      <c r="L174" s="6"/>
    </row>
    <row r="175">
      <c r="K175" s="12"/>
      <c r="L175" s="6"/>
    </row>
    <row r="176">
      <c r="K176" s="12"/>
      <c r="L176" s="6"/>
    </row>
    <row r="177">
      <c r="K177" s="12"/>
      <c r="L177" s="6"/>
    </row>
    <row r="178">
      <c r="K178" s="12"/>
      <c r="L178" s="6"/>
    </row>
    <row r="179">
      <c r="K179" s="12"/>
      <c r="L179" s="6"/>
    </row>
    <row r="180">
      <c r="K180" s="12"/>
      <c r="L180" s="6"/>
    </row>
    <row r="181">
      <c r="K181" s="12"/>
      <c r="L181" s="6"/>
    </row>
    <row r="182">
      <c r="K182" s="12"/>
      <c r="L182" s="6"/>
    </row>
    <row r="183">
      <c r="K183" s="12"/>
      <c r="L183" s="6"/>
    </row>
    <row r="184">
      <c r="K184" s="12"/>
      <c r="L184" s="6"/>
    </row>
    <row r="185">
      <c r="K185" s="12"/>
      <c r="L185" s="6"/>
    </row>
    <row r="186">
      <c r="K186" s="12"/>
      <c r="L186" s="6"/>
    </row>
    <row r="187">
      <c r="K187" s="12"/>
      <c r="L187" s="6"/>
    </row>
    <row r="188">
      <c r="K188" s="12"/>
      <c r="L188" s="6"/>
    </row>
    <row r="189">
      <c r="K189" s="12"/>
      <c r="L189" s="6"/>
    </row>
    <row r="190">
      <c r="K190" s="12"/>
      <c r="L190" s="6"/>
    </row>
    <row r="191">
      <c r="K191" s="12"/>
      <c r="L191" s="6"/>
    </row>
    <row r="192">
      <c r="K192" s="12"/>
      <c r="L192" s="6"/>
    </row>
    <row r="193">
      <c r="K193" s="12"/>
      <c r="L193" s="6"/>
    </row>
    <row r="194">
      <c r="K194" s="12"/>
      <c r="L194" s="6"/>
    </row>
    <row r="195">
      <c r="K195" s="12"/>
      <c r="L195" s="6"/>
    </row>
    <row r="196">
      <c r="K196" s="12"/>
      <c r="L196" s="6"/>
    </row>
    <row r="197">
      <c r="K197" s="12"/>
      <c r="L197" s="6"/>
    </row>
    <row r="198">
      <c r="K198" s="12"/>
      <c r="L198" s="6"/>
    </row>
    <row r="199">
      <c r="K199" s="12"/>
      <c r="L199" s="6"/>
    </row>
    <row r="200">
      <c r="K200" s="12"/>
      <c r="L200" s="6"/>
    </row>
    <row r="201">
      <c r="K201" s="11" t="s">
        <v>2047</v>
      </c>
      <c r="L201" s="11" t="s">
        <v>2047</v>
      </c>
    </row>
  </sheetData>
  <autoFilter ref="$A$1:$A$1000">
    <sortState ref="A1:A1000">
      <sortCondition ref="A1:A1000"/>
    </sortState>
  </autoFilter>
  <drawing r:id="rId1"/>
</worksheet>
</file>